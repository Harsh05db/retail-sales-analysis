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78\EXCELCNV\a59f9c9f-f3b1-43fb-8864-d357afa9c40d\"/>
    </mc:Choice>
  </mc:AlternateContent>
  <xr:revisionPtr revIDLastSave="0" documentId="8_{9D915178-D58B-406E-B014-AF28D178055A}" xr6:coauthVersionLast="47" xr6:coauthVersionMax="47" xr10:uidLastSave="{00000000-0000-0000-0000-000000000000}"/>
  <bookViews>
    <workbookView xWindow="-60" yWindow="-60" windowWidth="15480" windowHeight="11640" activeTab="6" xr2:uid="{B1620E0E-D0ED-4B56-8FA3-9A9B26F8FF70}"/>
  </bookViews>
  <sheets>
    <sheet name="RawData" sheetId="1" r:id="rId1"/>
    <sheet name="RevenueByMonthPivotTable" sheetId="3" r:id="rId2"/>
    <sheet name="RevenueByProduct" sheetId="5" r:id="rId3"/>
    <sheet name="RevenueByCategory" sheetId="6" r:id="rId4"/>
    <sheet name="RevenuebyCity" sheetId="7" r:id="rId5"/>
    <sheet name="RevenueByMonth" sheetId="2" r:id="rId6"/>
    <sheet name="DashBoard" sheetId="8" r:id="rId7"/>
  </sheets>
  <externalReferences>
    <externalReference r:id="rId8"/>
  </externalReferences>
  <definedNames>
    <definedName name="_xlnm._FilterDatabase" localSheetId="5" hidden="1">RevenueByMonth!$K$1:$K$1</definedName>
  </definedNames>
  <calcPr calcId="191028"/>
  <pivotCaches>
    <pivotCache cacheId="249" r:id="rId9"/>
    <pivotCache cacheId="27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8" l="1"/>
  <c r="H5" i="8"/>
  <c r="I83" i="2"/>
  <c r="J83" i="2"/>
  <c r="A1048576" i="2"/>
  <c r="E1048576" i="2"/>
  <c r="F1048576" i="2"/>
  <c r="H1048576" i="2"/>
  <c r="J1048576" i="2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I4" i="2"/>
  <c r="J4" i="2" s="1"/>
  <c r="I3" i="2"/>
  <c r="J3" i="2" s="1"/>
  <c r="I2" i="2"/>
  <c r="J2" i="2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2" i="1"/>
</calcChain>
</file>

<file path=xl/sharedStrings.xml><?xml version="1.0" encoding="utf-8"?>
<sst xmlns="http://schemas.openxmlformats.org/spreadsheetml/2006/main" count="658" uniqueCount="42">
  <si>
    <t>Order_ID</t>
  </si>
  <si>
    <t>Order_Date</t>
  </si>
  <si>
    <t>Product</t>
  </si>
  <si>
    <t>Category</t>
  </si>
  <si>
    <t>Quantity</t>
  </si>
  <si>
    <t>Unit_Price</t>
  </si>
  <si>
    <t>City</t>
  </si>
  <si>
    <t>Revenue</t>
  </si>
  <si>
    <t>Month</t>
  </si>
  <si>
    <t>Laptop</t>
  </si>
  <si>
    <t>Electronics</t>
  </si>
  <si>
    <t>Kolkata</t>
  </si>
  <si>
    <t>Mouse</t>
  </si>
  <si>
    <t>Delhi</t>
  </si>
  <si>
    <t>Office Chair</t>
  </si>
  <si>
    <t>Furniture</t>
  </si>
  <si>
    <t>Mumbai</t>
  </si>
  <si>
    <t>Desk</t>
  </si>
  <si>
    <t>Bangalore</t>
  </si>
  <si>
    <t>Keyboard</t>
  </si>
  <si>
    <t>Bookshelf</t>
  </si>
  <si>
    <t>Monitor</t>
  </si>
  <si>
    <t>Sum of Revenue</t>
  </si>
  <si>
    <t>Jan</t>
  </si>
  <si>
    <t>Feb</t>
  </si>
  <si>
    <t>Mar</t>
  </si>
  <si>
    <t>Apr</t>
  </si>
  <si>
    <t>Bangalore Total</t>
  </si>
  <si>
    <t>May</t>
  </si>
  <si>
    <t>Grand Total</t>
  </si>
  <si>
    <t>Delhi Total</t>
  </si>
  <si>
    <t>Kolkata Total</t>
  </si>
  <si>
    <t>Mumbai Total</t>
  </si>
  <si>
    <t>(blank)</t>
  </si>
  <si>
    <t>(blank) Total</t>
  </si>
  <si>
    <t>Average</t>
  </si>
  <si>
    <t>KPI</t>
  </si>
  <si>
    <t>Value</t>
  </si>
  <si>
    <t>Total Revenue</t>
  </si>
  <si>
    <t>Total Orders</t>
  </si>
  <si>
    <t>Top Product</t>
  </si>
  <si>
    <t>Top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</si>
</sst>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$-409]* #,##0.00_);_([$$-409]* \(#,##0.00\);_([$$-409]* &quot;-&quot;??_);_(@_)"/>
    <numFmt numFmtId="165" formatCode="_ [$₹-439]* #,##0.00_ ;_ [$₹-439]* \-#,##0.00_ ;_ [$₹-439]* &quot;-&quot;??_ ;_ @_ "/>
    <numFmt numFmtId="166" formatCode="_ [$₹-439]* #,##0.0_ ;_ [$₹-439]* \-#,##0.0_ ;_ [$₹-439]* &quot;-&quot;?_ ;_ 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14" fontId="18" fillId="0" borderId="0" xfId="0" applyNumberFormat="1" applyFont="1"/>
    <xf numFmtId="0" fontId="0" fillId="0" borderId="0" xfId="0" pivotButton="1"/>
    <xf numFmtId="0" fontId="0" fillId="0" borderId="0" xfId="0" applyNumberFormat="1"/>
    <xf numFmtId="0" fontId="0" fillId="0" borderId="0" xfId="0" applyFont="1"/>
    <xf numFmtId="0" fontId="0" fillId="0" borderId="0" xfId="0" pivotButton="1" applyFont="1"/>
    <xf numFmtId="0" fontId="0" fillId="0" borderId="0" xfId="0" applyNumberFormat="1" applyFont="1"/>
    <xf numFmtId="164" fontId="0" fillId="0" borderId="0" xfId="0" applyNumberFormat="1"/>
    <xf numFmtId="165" fontId="18" fillId="0" borderId="0" xfId="0" applyNumberFormat="1" applyFont="1"/>
    <xf numFmtId="166" fontId="18" fillId="0" borderId="0" xfId="0" applyNumberFormat="1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z val="10"/>
      </font>
      <numFmt numFmtId="0" formatCode="General"/>
    </dxf>
    <dxf>
      <font>
        <b/>
        <sz val="10"/>
      </font>
    </dxf>
    <dxf>
      <font>
        <b/>
        <sz val="10"/>
      </font>
    </dxf>
    <dxf>
      <font>
        <b/>
        <sz val="10"/>
      </font>
    </dxf>
    <dxf>
      <font>
        <b/>
        <sz val="10"/>
      </font>
    </dxf>
    <dxf>
      <font>
        <b/>
        <sz val="10"/>
      </font>
    </dxf>
    <dxf>
      <font>
        <b/>
        <sz val="10"/>
      </font>
    </dxf>
    <dxf>
      <font>
        <b/>
        <sz val="10"/>
      </font>
    </dxf>
    <dxf>
      <font>
        <b/>
        <sz val="10"/>
      </font>
      <numFmt numFmtId="19" formatCode="m/d/yyyy"/>
    </dxf>
    <dxf>
      <font>
        <b/>
        <sz val="10"/>
      </font>
    </dxf>
    <dxf>
      <font>
        <b/>
        <sz val="10"/>
      </font>
    </dxf>
    <dxf>
      <font>
        <b/>
        <sz val="1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[RawDataAllSales 3.xlsx]RevenueByMonthPivotTable!PivotTable2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Revenue</a:t>
            </a:r>
          </a:p>
        </c:rich>
      </c:tx>
      <c:overlay val="0"/>
      <c:spPr>
        <a:solidFill>
          <a:srgbClr val="E7E6E6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RevenueByMonthPivotTable!$E$2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RevenueByMonthPivotTable!$D$3:$D$8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RevenueByMonthPivotTable!$E$3:$E$8</c:f>
              <c:numCache>
                <c:formatCode>General</c:formatCode>
                <c:ptCount val="5"/>
                <c:pt idx="0">
                  <c:v>799200</c:v>
                </c:pt>
                <c:pt idx="1">
                  <c:v>662000</c:v>
                </c:pt>
                <c:pt idx="2">
                  <c:v>558900</c:v>
                </c:pt>
                <c:pt idx="3">
                  <c:v>561300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14-491F-980D-3089B0775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813703"/>
        <c:axId val="1990823943"/>
      </c:lineChart>
      <c:catAx>
        <c:axId val="1990813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23943"/>
        <c:crosses val="autoZero"/>
        <c:auto val="1"/>
        <c:lblAlgn val="ctr"/>
        <c:lblOffset val="100"/>
        <c:noMultiLvlLbl val="0"/>
      </c:catAx>
      <c:valAx>
        <c:axId val="1990823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13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[RawDataAllSales 3.xlsx]RevenueByProduct!PivotTable5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833C0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Revenue</a:t>
            </a:r>
          </a:p>
        </c:rich>
      </c:tx>
      <c:layout>
        <c:manualLayout>
          <c:xMode val="edge"/>
          <c:yMode val="edge"/>
          <c:x val="0.68631607473540002"/>
          <c:y val="0.60921732584635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833C0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028044952706381"/>
              <c:y val="-5.1656165591618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269804228582321E-2"/>
              <c:y val="3.5133808866886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162041965953131"/>
              <c:y val="-8.13032930340214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283147049220132E-2"/>
              <c:y val="4.19261705426927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515900539288053E-2"/>
              <c:y val="-3.01640890081966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508120320108115"/>
              <c:y val="-0.20058296640818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RevenueByProduct!$B$3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D9-40E6-A836-26D677BF4B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D9-40E6-A836-26D677BF4B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AD9-40E6-A836-26D677BF4B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AD9-40E6-A836-26D677BF4B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AD9-40E6-A836-26D677BF4B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D9-40E6-A836-26D677BF4B70}"/>
              </c:ext>
            </c:extLst>
          </c:dPt>
          <c:dLbls>
            <c:dLbl>
              <c:idx val="0"/>
              <c:layout>
                <c:manualLayout>
                  <c:x val="0.16162041965953131"/>
                  <c:y val="-8.13032930340214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D9-40E6-A836-26D677BF4B70}"/>
                </c:ext>
              </c:extLst>
            </c:dLbl>
            <c:dLbl>
              <c:idx val="1"/>
              <c:layout>
                <c:manualLayout>
                  <c:x val="8.8515900539288053E-2"/>
                  <c:y val="-3.01640890081966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D9-40E6-A836-26D677BF4B70}"/>
                </c:ext>
              </c:extLst>
            </c:dLbl>
            <c:dLbl>
              <c:idx val="2"/>
              <c:layout>
                <c:manualLayout>
                  <c:x val="8.6283147049220132E-2"/>
                  <c:y val="4.19261705426927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D9-40E6-A836-26D677BF4B70}"/>
                </c:ext>
              </c:extLst>
            </c:dLbl>
            <c:dLbl>
              <c:idx val="3"/>
              <c:layout>
                <c:manualLayout>
                  <c:x val="-0.15508120320108115"/>
                  <c:y val="-0.2005829664081830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D9-40E6-A836-26D677BF4B70}"/>
                </c:ext>
              </c:extLst>
            </c:dLbl>
            <c:dLbl>
              <c:idx val="5"/>
              <c:layout>
                <c:manualLayout>
                  <c:x val="-6.6269804228582321E-2"/>
                  <c:y val="3.513380886688632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D9-40E6-A836-26D677BF4B70}"/>
                </c:ext>
              </c:extLst>
            </c:dLbl>
            <c:dLbl>
              <c:idx val="6"/>
              <c:layout>
                <c:manualLayout>
                  <c:x val="-0.14028044952706381"/>
                  <c:y val="-5.16561655916184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9-40E6-A836-26D677BF4B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RevenueByProduct!$A$4:$A$11</c:f>
              <c:strCache>
                <c:ptCount val="7"/>
                <c:pt idx="0">
                  <c:v>Bookshelf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Office Chair</c:v>
                </c:pt>
              </c:strCache>
            </c:strRef>
          </c:cat>
          <c:val>
            <c:numRef>
              <c:f>RevenueByProduct!$B$4:$B$11</c:f>
              <c:numCache>
                <c:formatCode>General</c:formatCode>
                <c:ptCount val="7"/>
                <c:pt idx="0">
                  <c:v>84000</c:v>
                </c:pt>
                <c:pt idx="1">
                  <c:v>192000</c:v>
                </c:pt>
                <c:pt idx="2">
                  <c:v>75000</c:v>
                </c:pt>
                <c:pt idx="3">
                  <c:v>1540000</c:v>
                </c:pt>
                <c:pt idx="4">
                  <c:v>504000</c:v>
                </c:pt>
                <c:pt idx="5">
                  <c:v>66400</c:v>
                </c:pt>
                <c:pt idx="6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9-40E6-A836-26D677BF4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[RawDataAllSales 3.xlsx]RevenueByCategory!PivotTable6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RevenueByCategory!$B$3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RevenueByCategory!$A$4:$A$6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RevenueByCategory!$B$4:$B$6</c:f>
              <c:numCache>
                <c:formatCode>General</c:formatCode>
                <c:ptCount val="2"/>
                <c:pt idx="0">
                  <c:v>2185400</c:v>
                </c:pt>
                <c:pt idx="1">
                  <c:v>396000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A-467A-93C2-90658C2F8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8"/>
        <c:overlap val="-27"/>
        <c:axId val="1428456455"/>
        <c:axId val="1428458503"/>
      </c:barChart>
      <c:catAx>
        <c:axId val="1428456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58503"/>
        <c:crosses val="autoZero"/>
        <c:auto val="1"/>
        <c:lblAlgn val="ctr"/>
        <c:lblOffset val="100"/>
        <c:noMultiLvlLbl val="0"/>
      </c:catAx>
      <c:valAx>
        <c:axId val="1428458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56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[RawDataAllSales 3.xlsx]RevenuebyCity!PivotTable7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RevenuebyCity!$C$3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RevenuebyCity!$B$4:$B$8</c:f>
              <c:strCache>
                <c:ptCount val="4"/>
                <c:pt idx="0">
                  <c:v>Mumbai</c:v>
                </c:pt>
                <c:pt idx="1">
                  <c:v>Kolkata</c:v>
                </c:pt>
                <c:pt idx="2">
                  <c:v>Delhi</c:v>
                </c:pt>
                <c:pt idx="3">
                  <c:v>Bangalore</c:v>
                </c:pt>
              </c:strCache>
            </c:strRef>
          </c:cat>
          <c:val>
            <c:numRef>
              <c:f>RevenuebyCity!$C$4:$C$8</c:f>
              <c:numCache>
                <c:formatCode>General</c:formatCode>
                <c:ptCount val="4"/>
                <c:pt idx="0">
                  <c:v>749300</c:v>
                </c:pt>
                <c:pt idx="1">
                  <c:v>621600</c:v>
                </c:pt>
                <c:pt idx="2">
                  <c:v>537000</c:v>
                </c:pt>
                <c:pt idx="3">
                  <c:v>673500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B-4EC1-BCD3-4B337F406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1851519495"/>
        <c:axId val="1851522567"/>
      </c:barChart>
      <c:catAx>
        <c:axId val="1851519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22567"/>
        <c:crosses val="autoZero"/>
        <c:auto val="1"/>
        <c:lblAlgn val="ctr"/>
        <c:lblOffset val="100"/>
        <c:noMultiLvlLbl val="0"/>
      </c:catAx>
      <c:valAx>
        <c:axId val="1851522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194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93270486880056"/>
          <c:y val="0.88166111671543734"/>
          <c:w val="0.10233872081779251"/>
          <c:h val="7.7586749932120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1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[RawDataAllSales 3.xlsx]RevenuebyCity!PivotTable7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RevenuebyCity!$C$3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RevenuebyCity!$B$4:$B$8</c:f>
              <c:strCache>
                <c:ptCount val="4"/>
                <c:pt idx="0">
                  <c:v>Mumbai</c:v>
                </c:pt>
                <c:pt idx="1">
                  <c:v>Kolkata</c:v>
                </c:pt>
                <c:pt idx="2">
                  <c:v>Delhi</c:v>
                </c:pt>
                <c:pt idx="3">
                  <c:v>Bangalore</c:v>
                </c:pt>
              </c:strCache>
            </c:strRef>
          </c:cat>
          <c:val>
            <c:numRef>
              <c:f>RevenuebyCity!$C$4:$C$8</c:f>
              <c:numCache>
                <c:formatCode>General</c:formatCode>
                <c:ptCount val="4"/>
                <c:pt idx="0">
                  <c:v>749300</c:v>
                </c:pt>
                <c:pt idx="1">
                  <c:v>621600</c:v>
                </c:pt>
                <c:pt idx="2">
                  <c:v>537000</c:v>
                </c:pt>
                <c:pt idx="3">
                  <c:v>673500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E-4E52-8761-1A8679106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1851519495"/>
        <c:axId val="1851522567"/>
      </c:barChart>
      <c:catAx>
        <c:axId val="1851519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22567"/>
        <c:crosses val="autoZero"/>
        <c:auto val="1"/>
        <c:lblAlgn val="ctr"/>
        <c:lblOffset val="100"/>
        <c:noMultiLvlLbl val="0"/>
      </c:catAx>
      <c:valAx>
        <c:axId val="1851522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194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93270486880056"/>
          <c:y val="0.88166111671543734"/>
          <c:w val="0.10233872081779251"/>
          <c:h val="7.7586749932120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1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[RawDataAllSales 3.xlsx]RevenueByCategory!PivotTable6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RevenueByCategory!$B$3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RevenueByCategory!$A$4:$A$6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RevenueByCategory!$B$4:$B$6</c:f>
              <c:numCache>
                <c:formatCode>General</c:formatCode>
                <c:ptCount val="2"/>
                <c:pt idx="0">
                  <c:v>2185400</c:v>
                </c:pt>
                <c:pt idx="1">
                  <c:v>396000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6-4E6D-8E2C-93F1F080E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8"/>
        <c:overlap val="-27"/>
        <c:axId val="1428456455"/>
        <c:axId val="1428458503"/>
      </c:barChart>
      <c:catAx>
        <c:axId val="1428456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58503"/>
        <c:crosses val="autoZero"/>
        <c:auto val="1"/>
        <c:lblAlgn val="ctr"/>
        <c:lblOffset val="100"/>
        <c:noMultiLvlLbl val="0"/>
      </c:catAx>
      <c:valAx>
        <c:axId val="1428458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56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[RawDataAllSales 3.xlsx]RevenueByProduct!PivotTable5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833C0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Revenue</a:t>
            </a:r>
          </a:p>
        </c:rich>
      </c:tx>
      <c:layout>
        <c:manualLayout>
          <c:xMode val="edge"/>
          <c:yMode val="edge"/>
          <c:x val="0.68631607473540002"/>
          <c:y val="0.60921732584635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833C0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028044952706381"/>
              <c:y val="-5.1656165591618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269804228582321E-2"/>
              <c:y val="3.5133808866886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162041965953131"/>
              <c:y val="-8.13032930340214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283147049220132E-2"/>
              <c:y val="4.19261705426927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515900539288053E-2"/>
              <c:y val="-3.01640890081966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508120320108115"/>
              <c:y val="-0.20058296640818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162041965953131"/>
              <c:y val="-8.13032930340214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515900539288053E-2"/>
              <c:y val="-3.01640890081966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283147049220132E-2"/>
              <c:y val="4.19261705426927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508120320108115"/>
              <c:y val="-0.20058296640818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269804228582321E-2"/>
              <c:y val="3.5133808866886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028044952706381"/>
              <c:y val="-5.1656165591618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162041965953131"/>
              <c:y val="-8.13032930340214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515900539288053E-2"/>
              <c:y val="-3.01640890081966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283147049220132E-2"/>
              <c:y val="4.19261705426927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508120320108115"/>
              <c:y val="-0.20058296640818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269804228582321E-2"/>
              <c:y val="3.5133808866886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028044952706381"/>
              <c:y val="-5.1656165591618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162041965953131"/>
              <c:y val="-8.13032930340214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515900539288053E-2"/>
              <c:y val="-3.01640890081966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283147049220132E-2"/>
              <c:y val="4.19261705426927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508120320108115"/>
              <c:y val="-0.20058296640818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269804228582321E-2"/>
              <c:y val="3.5133808866886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028044952706381"/>
              <c:y val="-5.1656165591618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162041965953131"/>
              <c:y val="-8.13032930340214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515900539288053E-2"/>
              <c:y val="-3.01640890081966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283147049220132E-2"/>
              <c:y val="4.19261705426927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508120320108115"/>
              <c:y val="-0.200582966408183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269804228582321E-2"/>
              <c:y val="3.5133808866886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028044952706381"/>
              <c:y val="-5.1656165591618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RevenueByProduct!$B$3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04-468F-A924-A707FDDCA0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04-468F-A924-A707FDDCA0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04-468F-A924-A707FDDCA0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04-468F-A924-A707FDDCA0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04-468F-A924-A707FDDCA0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C04-468F-A924-A707FDDCA0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C04-468F-A924-A707FDDCA002}"/>
              </c:ext>
            </c:extLst>
          </c:dPt>
          <c:dLbls>
            <c:dLbl>
              <c:idx val="0"/>
              <c:layout>
                <c:manualLayout>
                  <c:x val="0.16162041965953131"/>
                  <c:y val="-8.13032930340214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04-468F-A924-A707FDDCA002}"/>
                </c:ext>
              </c:extLst>
            </c:dLbl>
            <c:dLbl>
              <c:idx val="1"/>
              <c:layout>
                <c:manualLayout>
                  <c:x val="8.8515900539288053E-2"/>
                  <c:y val="-3.01640890081966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04-468F-A924-A707FDDCA002}"/>
                </c:ext>
              </c:extLst>
            </c:dLbl>
            <c:dLbl>
              <c:idx val="2"/>
              <c:layout>
                <c:manualLayout>
                  <c:x val="8.6283147049220132E-2"/>
                  <c:y val="4.19261705426927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04-468F-A924-A707FDDCA002}"/>
                </c:ext>
              </c:extLst>
            </c:dLbl>
            <c:dLbl>
              <c:idx val="3"/>
              <c:layout>
                <c:manualLayout>
                  <c:x val="-0.15508120320108115"/>
                  <c:y val="-0.2005829664081830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04-468F-A924-A707FDDCA002}"/>
                </c:ext>
              </c:extLst>
            </c:dLbl>
            <c:dLbl>
              <c:idx val="5"/>
              <c:layout>
                <c:manualLayout>
                  <c:x val="-6.6269804228582321E-2"/>
                  <c:y val="3.513380886688632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C04-468F-A924-A707FDDCA002}"/>
                </c:ext>
              </c:extLst>
            </c:dLbl>
            <c:dLbl>
              <c:idx val="6"/>
              <c:layout>
                <c:manualLayout>
                  <c:x val="-0.14028044952706381"/>
                  <c:y val="-5.16561655916184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C04-468F-A924-A707FDDCA0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RevenueByProduct!$A$4:$A$11</c:f>
              <c:strCache>
                <c:ptCount val="7"/>
                <c:pt idx="0">
                  <c:v>Bookshelf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Office Chair</c:v>
                </c:pt>
              </c:strCache>
            </c:strRef>
          </c:cat>
          <c:val>
            <c:numRef>
              <c:f>RevenueByProduct!$B$4:$B$11</c:f>
              <c:numCache>
                <c:formatCode>General</c:formatCode>
                <c:ptCount val="7"/>
                <c:pt idx="0">
                  <c:v>84000</c:v>
                </c:pt>
                <c:pt idx="1">
                  <c:v>192000</c:v>
                </c:pt>
                <c:pt idx="2">
                  <c:v>75000</c:v>
                </c:pt>
                <c:pt idx="3">
                  <c:v>1540000</c:v>
                </c:pt>
                <c:pt idx="4">
                  <c:v>504000</c:v>
                </c:pt>
                <c:pt idx="5">
                  <c:v>66400</c:v>
                </c:pt>
                <c:pt idx="6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C04-468F-A924-A707FDDCA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9266597912050272E-2"/>
          <c:y val="0.83655697471066548"/>
          <c:w val="0.86036464371207899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[RawDataAllSales 3.xlsx]RevenueByMonthPivotTable!PivotTable2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Revenue</a:t>
            </a:r>
          </a:p>
        </c:rich>
      </c:tx>
      <c:overlay val="0"/>
      <c:spPr>
        <a:solidFill>
          <a:srgbClr val="E7E6E6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4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4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4675242106119796E-2"/>
              <c:y val="7.9816182454427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RevenueByMonthPivotTable!$E$2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7.4675242106119796E-2"/>
                  <c:y val="7.9816182454427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42-4294-92C0-193EC68096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RevenueByMonthPivotTable!$D$3:$D$8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RevenueByMonthPivotTable!$E$3:$E$8</c:f>
              <c:numCache>
                <c:formatCode>General</c:formatCode>
                <c:ptCount val="5"/>
                <c:pt idx="0">
                  <c:v>799200</c:v>
                </c:pt>
                <c:pt idx="1">
                  <c:v>662000</c:v>
                </c:pt>
                <c:pt idx="2">
                  <c:v>558900</c:v>
                </c:pt>
                <c:pt idx="3">
                  <c:v>561300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1-44D6-953D-370CA6628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813703"/>
        <c:axId val="1990823943"/>
      </c:lineChart>
      <c:catAx>
        <c:axId val="1990813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23943"/>
        <c:crosses val="autoZero"/>
        <c:auto val="1"/>
        <c:lblAlgn val="ctr"/>
        <c:lblOffset val="100"/>
        <c:noMultiLvlLbl val="0"/>
      </c:catAx>
      <c:valAx>
        <c:axId val="1990823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813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628650</xdr:colOff>
      <xdr:row>3</xdr:row>
      <xdr:rowOff>142875</xdr:rowOff>
    </xdr:from>
    <xdr:to>
      <xdr:col>17</xdr:col>
      <xdr:colOff>209550</xdr:colOff>
      <xdr:row>18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834B5C-5DFF-0DEA-97A9-9ECB6BDBCB62}"/>
            </a:ext>
            <a:ext uri="{147F2762-F138-4A5C-976F-8EAC2B608ADB}">
              <a16:predDERef xmlns:a16="http://schemas.microsoft.com/office/drawing/2014/main" pred="{8D763559-2568-42EC-CC0A-A5CBD262D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</xdr:row>
      <xdr:rowOff>38100</xdr:rowOff>
    </xdr:from>
    <xdr:to>
      <xdr:col>10</xdr:col>
      <xdr:colOff>95250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235EAD-720B-FA3B-F625-924FD5550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2</xdr:row>
      <xdr:rowOff>38100</xdr:rowOff>
    </xdr:from>
    <xdr:to>
      <xdr:col>7</xdr:col>
      <xdr:colOff>485775</xdr:colOff>
      <xdr:row>12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0E6E3-BD31-7D08-6CC0-7E393AECD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180975</xdr:rowOff>
    </xdr:from>
    <xdr:to>
      <xdr:col>10</xdr:col>
      <xdr:colOff>304800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E38F5-2334-7227-C245-C364C2538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0</xdr:row>
      <xdr:rowOff>76200</xdr:rowOff>
    </xdr:from>
    <xdr:to>
      <xdr:col>5</xdr:col>
      <xdr:colOff>400050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F45E8D-51FD-486C-B9E9-8AA95DEF4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838200</xdr:colOff>
      <xdr:row>15</xdr:row>
      <xdr:rowOff>0</xdr:rowOff>
    </xdr:from>
    <xdr:to>
      <xdr:col>2</xdr:col>
      <xdr:colOff>628650</xdr:colOff>
      <xdr:row>36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9BE40D-E578-4F1A-8B0F-BD3E3F0F2DF6}"/>
            </a:ext>
            <a:ext uri="{147F2762-F138-4A5C-976F-8EAC2B608ADB}">
              <a16:predDERef xmlns:a16="http://schemas.microsoft.com/office/drawing/2014/main" pred="{3DF45E8D-51FD-486C-B9E9-8AA95DEF4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</xdr:colOff>
      <xdr:row>3</xdr:row>
      <xdr:rowOff>47625</xdr:rowOff>
    </xdr:from>
    <xdr:to>
      <xdr:col>20</xdr:col>
      <xdr:colOff>95250</xdr:colOff>
      <xdr:row>29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6B306E-49F0-45F1-AB46-0F1FAC253937}"/>
            </a:ext>
            <a:ext uri="{147F2762-F138-4A5C-976F-8EAC2B608ADB}">
              <a16:predDERef xmlns:a16="http://schemas.microsoft.com/office/drawing/2014/main" pred="{659BE40D-E578-4F1A-8B0F-BD3E3F0F2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923925</xdr:colOff>
      <xdr:row>13</xdr:row>
      <xdr:rowOff>85725</xdr:rowOff>
    </xdr:from>
    <xdr:to>
      <xdr:col>10</xdr:col>
      <xdr:colOff>66675</xdr:colOff>
      <xdr:row>37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A31BEE-5F32-429B-9C7E-36A53DDA203F}"/>
            </a:ext>
            <a:ext uri="{147F2762-F138-4A5C-976F-8EAC2B608ADB}">
              <a16:predDERef xmlns:a16="http://schemas.microsoft.com/office/drawing/2014/main" pred="{6C6B306E-49F0-45F1-AB46-0F1FAC253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w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_Data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7.750751504631" createdVersion="8" refreshedVersion="8" minRefreshableVersion="3" recordCount="96" xr:uid="{DA425953-83E8-4E4E-BDF1-744DD6236145}">
  <cacheSource type="worksheet">
    <worksheetSource ref="A1:I1048576" sheet="RevenueByMonth"/>
  </cacheSource>
  <cacheFields count="9">
    <cacheField name="Order_ID" numFmtId="0">
      <sharedItems containsString="0" containsBlank="1" containsNumber="1" containsInteger="1" minValue="1001" maxValue="1095" count="96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m/>
      </sharedItems>
    </cacheField>
    <cacheField name="Order_Date" numFmtId="0">
      <sharedItems containsNonDate="0" containsDate="1" containsString="0" containsBlank="1" minDate="2025-01-02T00:00:00" maxDate="2025-04-21T00:00:00"/>
    </cacheField>
    <cacheField name="Product" numFmtId="0">
      <sharedItems containsBlank="1"/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8" count="9">
        <n v="2"/>
        <n v="5"/>
        <n v="1"/>
        <n v="3"/>
        <n v="4"/>
        <n v="6"/>
        <n v="7"/>
        <n v="8"/>
        <m/>
      </sharedItems>
    </cacheField>
    <cacheField name="Unit_Price" numFmtId="0">
      <sharedItems containsString="0" containsBlank="1" containsNumber="1" containsInteger="1" minValue="800" maxValue="55000"/>
    </cacheField>
    <cacheField name="City" numFmtId="0">
      <sharedItems containsBlank="1" count="5">
        <s v="Kolkata"/>
        <s v="Delhi"/>
        <s v="Mumbai"/>
        <s v="Bangalore"/>
        <m/>
      </sharedItems>
    </cacheField>
    <cacheField name="Revenue" numFmtId="0">
      <sharedItems containsString="0" containsBlank="1" containsNumber="1" containsInteger="1" minValue="3000" maxValue="110000" count="18">
        <n v="110000"/>
        <n v="4000"/>
        <n v="7500"/>
        <n v="12000"/>
        <n v="4500"/>
        <n v="55000"/>
        <n v="36000"/>
        <n v="3200"/>
        <n v="3000"/>
        <n v="15000"/>
        <n v="18000"/>
        <n v="6000"/>
        <n v="4800"/>
        <n v="54000"/>
        <n v="24000"/>
        <n v="5600"/>
        <n v="6400"/>
        <m/>
      </sharedItems>
    </cacheField>
    <cacheField name="Month" numFmtId="0">
      <sharedItems containsBlank="1" count="5">
        <s v="Jan"/>
        <s v="Feb"/>
        <s v="Mar"/>
        <s v="Ap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7.770079629627" createdVersion="8" refreshedVersion="8" minRefreshableVersion="3" recordCount="95" xr:uid="{43E59232-AB28-4BE8-8DCA-F22A32C0684B}">
  <cacheSource type="worksheet">
    <worksheetSource name="Table1"/>
  </cacheSource>
  <cacheFields count="10">
    <cacheField name="Order_ID" numFmtId="0">
      <sharedItems containsSemiMixedTypes="0" containsString="0" containsNumber="1" containsInteger="1" minValue="1001" maxValue="1095"/>
    </cacheField>
    <cacheField name="Order_Date" numFmtId="14">
      <sharedItems containsSemiMixedTypes="0" containsNonDate="0" containsDate="1" containsString="0" minDate="2025-01-02T00:00:00" maxDate="2025-04-21T00:00:00"/>
    </cacheField>
    <cacheField name="Product" numFmtId="0">
      <sharedItems count="7">
        <s v="Laptop"/>
        <s v="Mouse"/>
        <s v="Office Chair"/>
        <s v="Desk"/>
        <s v="Keyboard"/>
        <s v="Bookshelf"/>
        <s v="Monitor"/>
      </sharedItems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containsInteger="1" minValue="800" maxValue="55000"/>
    </cacheField>
    <cacheField name="City" numFmtId="0">
      <sharedItems count="4">
        <s v="Kolkata"/>
        <s v="Delhi"/>
        <s v="Mumbai"/>
        <s v="Bangalore"/>
      </sharedItems>
    </cacheField>
    <cacheField name="Revenue" numFmtId="0">
      <sharedItems containsSemiMixedTypes="0" containsString="0" containsNumber="1" containsInteger="1" minValue="3000" maxValue="110000"/>
    </cacheField>
    <cacheField name="Month" numFmtId="0">
      <sharedItems/>
    </cacheField>
    <cacheField name="Average" numFmtId="0">
      <sharedItems containsSemiMixedTypes="0" containsString="0" containsNumber="1" minValue="10135.799999999999" maxValue="42372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d v="2025-01-02T00:00:00"/>
    <s v="Laptop"/>
    <s v="Electronics"/>
    <x v="0"/>
    <n v="55000"/>
    <x v="0"/>
    <x v="0"/>
    <x v="0"/>
  </r>
  <r>
    <x v="1"/>
    <d v="2025-01-03T00:00:00"/>
    <s v="Mouse"/>
    <s v="Electronics"/>
    <x v="1"/>
    <n v="800"/>
    <x v="1"/>
    <x v="1"/>
    <x v="0"/>
  </r>
  <r>
    <x v="2"/>
    <d v="2025-01-04T00:00:00"/>
    <s v="Office Chair"/>
    <s v="Furniture"/>
    <x v="2"/>
    <n v="7500"/>
    <x v="2"/>
    <x v="2"/>
    <x v="0"/>
  </r>
  <r>
    <x v="3"/>
    <d v="2025-01-05T00:00:00"/>
    <s v="Desk"/>
    <s v="Furniture"/>
    <x v="2"/>
    <n v="12000"/>
    <x v="3"/>
    <x v="3"/>
    <x v="0"/>
  </r>
  <r>
    <x v="4"/>
    <d v="2025-01-05T00:00:00"/>
    <s v="Keyboard"/>
    <s v="Electronics"/>
    <x v="3"/>
    <n v="1500"/>
    <x v="0"/>
    <x v="4"/>
    <x v="0"/>
  </r>
  <r>
    <x v="5"/>
    <d v="2025-01-06T00:00:00"/>
    <s v="Laptop"/>
    <s v="Electronics"/>
    <x v="2"/>
    <n v="55000"/>
    <x v="1"/>
    <x v="5"/>
    <x v="0"/>
  </r>
  <r>
    <x v="6"/>
    <d v="2025-01-07T00:00:00"/>
    <s v="Bookshelf"/>
    <s v="Furniture"/>
    <x v="0"/>
    <n v="6000"/>
    <x v="2"/>
    <x v="3"/>
    <x v="0"/>
  </r>
  <r>
    <x v="7"/>
    <d v="2025-01-08T00:00:00"/>
    <s v="Monitor"/>
    <s v="Electronics"/>
    <x v="0"/>
    <n v="18000"/>
    <x v="3"/>
    <x v="6"/>
    <x v="0"/>
  </r>
  <r>
    <x v="8"/>
    <d v="2025-01-09T00:00:00"/>
    <s v="Mouse"/>
    <s v="Electronics"/>
    <x v="4"/>
    <n v="800"/>
    <x v="0"/>
    <x v="7"/>
    <x v="0"/>
  </r>
  <r>
    <x v="9"/>
    <d v="2025-01-10T00:00:00"/>
    <s v="Desk"/>
    <s v="Furniture"/>
    <x v="2"/>
    <n v="12000"/>
    <x v="1"/>
    <x v="3"/>
    <x v="0"/>
  </r>
  <r>
    <x v="10"/>
    <d v="2025-01-11T00:00:00"/>
    <s v="Keyboard"/>
    <s v="Electronics"/>
    <x v="0"/>
    <n v="1500"/>
    <x v="2"/>
    <x v="8"/>
    <x v="0"/>
  </r>
  <r>
    <x v="11"/>
    <d v="2025-01-12T00:00:00"/>
    <s v="Laptop"/>
    <s v="Electronics"/>
    <x v="2"/>
    <n v="55000"/>
    <x v="3"/>
    <x v="5"/>
    <x v="0"/>
  </r>
  <r>
    <x v="12"/>
    <d v="2025-01-13T00:00:00"/>
    <s v="Office Chair"/>
    <s v="Furniture"/>
    <x v="0"/>
    <n v="7500"/>
    <x v="0"/>
    <x v="9"/>
    <x v="0"/>
  </r>
  <r>
    <x v="13"/>
    <d v="2025-01-14T00:00:00"/>
    <s v="Monitor"/>
    <s v="Electronics"/>
    <x v="2"/>
    <n v="18000"/>
    <x v="1"/>
    <x v="10"/>
    <x v="0"/>
  </r>
  <r>
    <x v="14"/>
    <d v="2025-01-15T00:00:00"/>
    <s v="Bookshelf"/>
    <s v="Furniture"/>
    <x v="2"/>
    <n v="6000"/>
    <x v="2"/>
    <x v="11"/>
    <x v="0"/>
  </r>
  <r>
    <x v="15"/>
    <d v="2025-01-16T00:00:00"/>
    <s v="Mouse"/>
    <s v="Electronics"/>
    <x v="5"/>
    <n v="800"/>
    <x v="3"/>
    <x v="12"/>
    <x v="0"/>
  </r>
  <r>
    <x v="16"/>
    <d v="2025-01-17T00:00:00"/>
    <s v="Keyboard"/>
    <s v="Electronics"/>
    <x v="4"/>
    <n v="1500"/>
    <x v="0"/>
    <x v="11"/>
    <x v="0"/>
  </r>
  <r>
    <x v="17"/>
    <d v="2025-01-18T00:00:00"/>
    <s v="Laptop"/>
    <s v="Electronics"/>
    <x v="0"/>
    <n v="55000"/>
    <x v="2"/>
    <x v="0"/>
    <x v="0"/>
  </r>
  <r>
    <x v="18"/>
    <d v="2025-01-19T00:00:00"/>
    <s v="Desk"/>
    <s v="Furniture"/>
    <x v="2"/>
    <n v="12000"/>
    <x v="1"/>
    <x v="3"/>
    <x v="0"/>
  </r>
  <r>
    <x v="19"/>
    <d v="2025-01-20T00:00:00"/>
    <s v="Monitor"/>
    <s v="Electronics"/>
    <x v="3"/>
    <n v="18000"/>
    <x v="0"/>
    <x v="13"/>
    <x v="0"/>
  </r>
  <r>
    <x v="20"/>
    <d v="2025-01-21T00:00:00"/>
    <s v="Mouse"/>
    <s v="Electronics"/>
    <x v="1"/>
    <n v="800"/>
    <x v="2"/>
    <x v="1"/>
    <x v="0"/>
  </r>
  <r>
    <x v="21"/>
    <d v="2025-01-22T00:00:00"/>
    <s v="Office Chair"/>
    <s v="Furniture"/>
    <x v="2"/>
    <n v="7500"/>
    <x v="3"/>
    <x v="2"/>
    <x v="0"/>
  </r>
  <r>
    <x v="22"/>
    <d v="2025-01-23T00:00:00"/>
    <s v="Laptop"/>
    <s v="Electronics"/>
    <x v="2"/>
    <n v="55000"/>
    <x v="0"/>
    <x v="5"/>
    <x v="0"/>
  </r>
  <r>
    <x v="23"/>
    <d v="2025-01-24T00:00:00"/>
    <s v="Bookshelf"/>
    <s v="Furniture"/>
    <x v="0"/>
    <n v="6000"/>
    <x v="1"/>
    <x v="3"/>
    <x v="0"/>
  </r>
  <r>
    <x v="24"/>
    <d v="2025-01-25T00:00:00"/>
    <s v="Keyboard"/>
    <s v="Electronics"/>
    <x v="3"/>
    <n v="1500"/>
    <x v="2"/>
    <x v="4"/>
    <x v="0"/>
  </r>
  <r>
    <x v="25"/>
    <d v="2025-01-26T00:00:00"/>
    <s v="Monitor"/>
    <s v="Electronics"/>
    <x v="0"/>
    <n v="18000"/>
    <x v="3"/>
    <x v="6"/>
    <x v="0"/>
  </r>
  <r>
    <x v="26"/>
    <d v="2025-01-27T00:00:00"/>
    <s v="Desk"/>
    <s v="Furniture"/>
    <x v="2"/>
    <n v="12000"/>
    <x v="0"/>
    <x v="3"/>
    <x v="0"/>
  </r>
  <r>
    <x v="27"/>
    <d v="2025-01-28T00:00:00"/>
    <s v="Mouse"/>
    <s v="Electronics"/>
    <x v="4"/>
    <n v="800"/>
    <x v="1"/>
    <x v="7"/>
    <x v="0"/>
  </r>
  <r>
    <x v="28"/>
    <d v="2025-01-29T00:00:00"/>
    <s v="Laptop"/>
    <s v="Electronics"/>
    <x v="0"/>
    <n v="55000"/>
    <x v="2"/>
    <x v="0"/>
    <x v="0"/>
  </r>
  <r>
    <x v="29"/>
    <d v="2025-01-30T00:00:00"/>
    <s v="Office Chair"/>
    <s v="Furniture"/>
    <x v="0"/>
    <n v="7500"/>
    <x v="3"/>
    <x v="9"/>
    <x v="0"/>
  </r>
  <r>
    <x v="30"/>
    <d v="2025-02-01T00:00:00"/>
    <s v="Mouse"/>
    <s v="Electronics"/>
    <x v="1"/>
    <n v="800"/>
    <x v="0"/>
    <x v="1"/>
    <x v="1"/>
  </r>
  <r>
    <x v="31"/>
    <d v="2025-02-02T00:00:00"/>
    <s v="Laptop"/>
    <s v="Electronics"/>
    <x v="2"/>
    <n v="55000"/>
    <x v="1"/>
    <x v="5"/>
    <x v="1"/>
  </r>
  <r>
    <x v="32"/>
    <d v="2025-02-03T00:00:00"/>
    <s v="Desk"/>
    <s v="Furniture"/>
    <x v="0"/>
    <n v="12000"/>
    <x v="2"/>
    <x v="14"/>
    <x v="1"/>
  </r>
  <r>
    <x v="33"/>
    <d v="2025-02-04T00:00:00"/>
    <s v="Keyboard"/>
    <s v="Electronics"/>
    <x v="4"/>
    <n v="1500"/>
    <x v="3"/>
    <x v="11"/>
    <x v="1"/>
  </r>
  <r>
    <x v="34"/>
    <d v="2025-02-05T00:00:00"/>
    <s v="Monitor"/>
    <s v="Electronics"/>
    <x v="0"/>
    <n v="18000"/>
    <x v="0"/>
    <x v="6"/>
    <x v="1"/>
  </r>
  <r>
    <x v="35"/>
    <d v="2025-02-06T00:00:00"/>
    <s v="Office Chair"/>
    <s v="Furniture"/>
    <x v="2"/>
    <n v="7500"/>
    <x v="1"/>
    <x v="2"/>
    <x v="1"/>
  </r>
  <r>
    <x v="36"/>
    <d v="2025-02-07T00:00:00"/>
    <s v="Bookshelf"/>
    <s v="Furniture"/>
    <x v="0"/>
    <n v="6000"/>
    <x v="2"/>
    <x v="3"/>
    <x v="1"/>
  </r>
  <r>
    <x v="37"/>
    <d v="2025-02-08T00:00:00"/>
    <s v="Laptop"/>
    <s v="Electronics"/>
    <x v="0"/>
    <n v="55000"/>
    <x v="3"/>
    <x v="0"/>
    <x v="1"/>
  </r>
  <r>
    <x v="38"/>
    <d v="2025-02-09T00:00:00"/>
    <s v="Mouse"/>
    <s v="Electronics"/>
    <x v="5"/>
    <n v="800"/>
    <x v="0"/>
    <x v="12"/>
    <x v="1"/>
  </r>
  <r>
    <x v="39"/>
    <d v="2025-02-10T00:00:00"/>
    <s v="Desk"/>
    <s v="Furniture"/>
    <x v="2"/>
    <n v="12000"/>
    <x v="1"/>
    <x v="3"/>
    <x v="1"/>
  </r>
  <r>
    <x v="40"/>
    <d v="2025-02-11T00:00:00"/>
    <s v="Keyboard"/>
    <s v="Electronics"/>
    <x v="3"/>
    <n v="1500"/>
    <x v="2"/>
    <x v="4"/>
    <x v="1"/>
  </r>
  <r>
    <x v="41"/>
    <d v="2025-02-12T00:00:00"/>
    <s v="Monitor"/>
    <s v="Electronics"/>
    <x v="2"/>
    <n v="18000"/>
    <x v="3"/>
    <x v="10"/>
    <x v="1"/>
  </r>
  <r>
    <x v="42"/>
    <d v="2025-02-13T00:00:00"/>
    <s v="Laptop"/>
    <s v="Electronics"/>
    <x v="2"/>
    <n v="55000"/>
    <x v="0"/>
    <x v="5"/>
    <x v="1"/>
  </r>
  <r>
    <x v="43"/>
    <d v="2025-02-14T00:00:00"/>
    <s v="Office Chair"/>
    <s v="Furniture"/>
    <x v="0"/>
    <n v="7500"/>
    <x v="1"/>
    <x v="9"/>
    <x v="1"/>
  </r>
  <r>
    <x v="44"/>
    <d v="2025-02-15T00:00:00"/>
    <s v="Bookshelf"/>
    <s v="Furniture"/>
    <x v="2"/>
    <n v="6000"/>
    <x v="2"/>
    <x v="11"/>
    <x v="1"/>
  </r>
  <r>
    <x v="45"/>
    <d v="2025-02-16T00:00:00"/>
    <s v="Mouse"/>
    <s v="Electronics"/>
    <x v="4"/>
    <n v="800"/>
    <x v="3"/>
    <x v="7"/>
    <x v="1"/>
  </r>
  <r>
    <x v="46"/>
    <d v="2025-02-17T00:00:00"/>
    <s v="Keyboard"/>
    <s v="Electronics"/>
    <x v="1"/>
    <n v="1500"/>
    <x v="0"/>
    <x v="2"/>
    <x v="1"/>
  </r>
  <r>
    <x v="47"/>
    <d v="2025-02-18T00:00:00"/>
    <s v="Monitor"/>
    <s v="Electronics"/>
    <x v="0"/>
    <n v="18000"/>
    <x v="1"/>
    <x v="6"/>
    <x v="1"/>
  </r>
  <r>
    <x v="48"/>
    <d v="2025-02-19T00:00:00"/>
    <s v="Laptop"/>
    <s v="Electronics"/>
    <x v="0"/>
    <n v="55000"/>
    <x v="2"/>
    <x v="0"/>
    <x v="1"/>
  </r>
  <r>
    <x v="49"/>
    <d v="2025-02-20T00:00:00"/>
    <s v="Desk"/>
    <s v="Furniture"/>
    <x v="2"/>
    <n v="12000"/>
    <x v="3"/>
    <x v="3"/>
    <x v="1"/>
  </r>
  <r>
    <x v="50"/>
    <d v="2025-02-21T00:00:00"/>
    <s v="Office Chair"/>
    <s v="Furniture"/>
    <x v="2"/>
    <n v="7500"/>
    <x v="0"/>
    <x v="2"/>
    <x v="1"/>
  </r>
  <r>
    <x v="51"/>
    <d v="2025-02-22T00:00:00"/>
    <s v="Mouse"/>
    <s v="Electronics"/>
    <x v="1"/>
    <n v="800"/>
    <x v="1"/>
    <x v="1"/>
    <x v="1"/>
  </r>
  <r>
    <x v="52"/>
    <d v="2025-02-23T00:00:00"/>
    <s v="Keyboard"/>
    <s v="Electronics"/>
    <x v="0"/>
    <n v="1500"/>
    <x v="2"/>
    <x v="8"/>
    <x v="1"/>
  </r>
  <r>
    <x v="53"/>
    <d v="2025-02-24T00:00:00"/>
    <s v="Monitor"/>
    <s v="Electronics"/>
    <x v="3"/>
    <n v="18000"/>
    <x v="3"/>
    <x v="13"/>
    <x v="1"/>
  </r>
  <r>
    <x v="54"/>
    <d v="2025-02-25T00:00:00"/>
    <s v="Laptop"/>
    <s v="Electronics"/>
    <x v="2"/>
    <n v="55000"/>
    <x v="0"/>
    <x v="5"/>
    <x v="1"/>
  </r>
  <r>
    <x v="55"/>
    <d v="2025-03-01T00:00:00"/>
    <s v="Laptop"/>
    <s v="Electronics"/>
    <x v="2"/>
    <n v="55000"/>
    <x v="1"/>
    <x v="5"/>
    <x v="2"/>
  </r>
  <r>
    <x v="56"/>
    <d v="2025-03-02T00:00:00"/>
    <s v="Mouse"/>
    <s v="Electronics"/>
    <x v="6"/>
    <n v="800"/>
    <x v="0"/>
    <x v="15"/>
    <x v="2"/>
  </r>
  <r>
    <x v="57"/>
    <d v="2025-03-03T00:00:00"/>
    <s v="Monitor"/>
    <s v="Electronics"/>
    <x v="0"/>
    <n v="18000"/>
    <x v="2"/>
    <x v="6"/>
    <x v="2"/>
  </r>
  <r>
    <x v="58"/>
    <d v="2025-03-04T00:00:00"/>
    <s v="Desk"/>
    <s v="Furniture"/>
    <x v="2"/>
    <n v="12000"/>
    <x v="3"/>
    <x v="3"/>
    <x v="2"/>
  </r>
  <r>
    <x v="59"/>
    <d v="2025-03-05T00:00:00"/>
    <s v="Keyboard"/>
    <s v="Electronics"/>
    <x v="4"/>
    <n v="1500"/>
    <x v="1"/>
    <x v="11"/>
    <x v="2"/>
  </r>
  <r>
    <x v="60"/>
    <d v="2025-03-06T00:00:00"/>
    <s v="Office Chair"/>
    <s v="Furniture"/>
    <x v="0"/>
    <n v="7500"/>
    <x v="0"/>
    <x v="9"/>
    <x v="2"/>
  </r>
  <r>
    <x v="61"/>
    <d v="2025-03-07T00:00:00"/>
    <s v="Bookshelf"/>
    <s v="Furniture"/>
    <x v="2"/>
    <n v="6000"/>
    <x v="2"/>
    <x v="11"/>
    <x v="2"/>
  </r>
  <r>
    <x v="62"/>
    <d v="2025-03-08T00:00:00"/>
    <s v="Laptop"/>
    <s v="Electronics"/>
    <x v="0"/>
    <n v="55000"/>
    <x v="3"/>
    <x v="0"/>
    <x v="2"/>
  </r>
  <r>
    <x v="63"/>
    <d v="2025-03-09T00:00:00"/>
    <s v="Mouse"/>
    <s v="Electronics"/>
    <x v="1"/>
    <n v="800"/>
    <x v="1"/>
    <x v="1"/>
    <x v="2"/>
  </r>
  <r>
    <x v="64"/>
    <d v="2025-03-10T00:00:00"/>
    <s v="Monitor"/>
    <s v="Electronics"/>
    <x v="2"/>
    <n v="18000"/>
    <x v="0"/>
    <x v="10"/>
    <x v="2"/>
  </r>
  <r>
    <x v="65"/>
    <d v="2025-03-11T00:00:00"/>
    <s v="Desk"/>
    <s v="Furniture"/>
    <x v="0"/>
    <n v="12000"/>
    <x v="2"/>
    <x v="14"/>
    <x v="2"/>
  </r>
  <r>
    <x v="66"/>
    <d v="2025-03-12T00:00:00"/>
    <s v="Keyboard"/>
    <s v="Electronics"/>
    <x v="3"/>
    <n v="1500"/>
    <x v="3"/>
    <x v="4"/>
    <x v="2"/>
  </r>
  <r>
    <x v="67"/>
    <d v="2025-03-13T00:00:00"/>
    <s v="Laptop"/>
    <s v="Electronics"/>
    <x v="2"/>
    <n v="55000"/>
    <x v="0"/>
    <x v="5"/>
    <x v="2"/>
  </r>
  <r>
    <x v="68"/>
    <d v="2025-03-14T00:00:00"/>
    <s v="Office Chair"/>
    <s v="Furniture"/>
    <x v="2"/>
    <n v="7500"/>
    <x v="1"/>
    <x v="2"/>
    <x v="2"/>
  </r>
  <r>
    <x v="69"/>
    <d v="2025-03-15T00:00:00"/>
    <s v="Bookshelf"/>
    <s v="Furniture"/>
    <x v="0"/>
    <n v="6000"/>
    <x v="3"/>
    <x v="3"/>
    <x v="2"/>
  </r>
  <r>
    <x v="70"/>
    <d v="2025-03-16T00:00:00"/>
    <s v="Mouse"/>
    <s v="Electronics"/>
    <x v="5"/>
    <n v="800"/>
    <x v="2"/>
    <x v="12"/>
    <x v="2"/>
  </r>
  <r>
    <x v="71"/>
    <d v="2025-03-17T00:00:00"/>
    <s v="Monitor"/>
    <s v="Electronics"/>
    <x v="3"/>
    <n v="18000"/>
    <x v="1"/>
    <x v="13"/>
    <x v="2"/>
  </r>
  <r>
    <x v="72"/>
    <d v="2025-03-18T00:00:00"/>
    <s v="Keyboard"/>
    <s v="Electronics"/>
    <x v="1"/>
    <n v="1500"/>
    <x v="0"/>
    <x v="2"/>
    <x v="2"/>
  </r>
  <r>
    <x v="73"/>
    <d v="2025-03-19T00:00:00"/>
    <s v="Laptop"/>
    <s v="Electronics"/>
    <x v="0"/>
    <n v="55000"/>
    <x v="2"/>
    <x v="0"/>
    <x v="2"/>
  </r>
  <r>
    <x v="74"/>
    <d v="2025-03-20T00:00:00"/>
    <s v="Desk"/>
    <s v="Furniture"/>
    <x v="2"/>
    <n v="12000"/>
    <x v="3"/>
    <x v="3"/>
    <x v="2"/>
  </r>
  <r>
    <x v="75"/>
    <d v="2025-04-01T00:00:00"/>
    <s v="Laptop"/>
    <s v="Electronics"/>
    <x v="2"/>
    <n v="55000"/>
    <x v="0"/>
    <x v="5"/>
    <x v="3"/>
  </r>
  <r>
    <x v="76"/>
    <d v="2025-04-02T00:00:00"/>
    <s v="Monitor"/>
    <s v="Electronics"/>
    <x v="0"/>
    <n v="18000"/>
    <x v="1"/>
    <x v="6"/>
    <x v="3"/>
  </r>
  <r>
    <x v="77"/>
    <d v="2025-04-03T00:00:00"/>
    <s v="Mouse"/>
    <s v="Electronics"/>
    <x v="7"/>
    <n v="800"/>
    <x v="2"/>
    <x v="16"/>
    <x v="3"/>
  </r>
  <r>
    <x v="78"/>
    <d v="2025-04-04T00:00:00"/>
    <s v="Desk"/>
    <s v="Furniture"/>
    <x v="2"/>
    <n v="12000"/>
    <x v="3"/>
    <x v="3"/>
    <x v="3"/>
  </r>
  <r>
    <x v="79"/>
    <d v="2025-04-05T00:00:00"/>
    <s v="Keyboard"/>
    <s v="Electronics"/>
    <x v="4"/>
    <n v="1500"/>
    <x v="0"/>
    <x v="11"/>
    <x v="3"/>
  </r>
  <r>
    <x v="80"/>
    <d v="2025-04-06T00:00:00"/>
    <s v="Office Chair"/>
    <s v="Furniture"/>
    <x v="0"/>
    <n v="7500"/>
    <x v="1"/>
    <x v="9"/>
    <x v="3"/>
  </r>
  <r>
    <x v="81"/>
    <d v="2025-04-07T00:00:00"/>
    <s v="Bookshelf"/>
    <s v="Furniture"/>
    <x v="2"/>
    <n v="6000"/>
    <x v="2"/>
    <x v="11"/>
    <x v="3"/>
  </r>
  <r>
    <x v="82"/>
    <d v="2025-04-08T00:00:00"/>
    <s v="Laptop"/>
    <s v="Electronics"/>
    <x v="0"/>
    <n v="55000"/>
    <x v="3"/>
    <x v="0"/>
    <x v="3"/>
  </r>
  <r>
    <x v="83"/>
    <d v="2025-04-09T00:00:00"/>
    <s v="Monitor"/>
    <s v="Electronics"/>
    <x v="2"/>
    <n v="18000"/>
    <x v="0"/>
    <x v="10"/>
    <x v="3"/>
  </r>
  <r>
    <x v="84"/>
    <d v="2025-04-10T00:00:00"/>
    <s v="Mouse"/>
    <s v="Electronics"/>
    <x v="5"/>
    <n v="800"/>
    <x v="1"/>
    <x v="12"/>
    <x v="3"/>
  </r>
  <r>
    <x v="85"/>
    <d v="2025-04-11T00:00:00"/>
    <s v="Desk"/>
    <s v="Furniture"/>
    <x v="0"/>
    <n v="12000"/>
    <x v="2"/>
    <x v="14"/>
    <x v="3"/>
  </r>
  <r>
    <x v="86"/>
    <d v="2025-04-12T00:00:00"/>
    <s v="Keyboard"/>
    <s v="Electronics"/>
    <x v="1"/>
    <n v="1500"/>
    <x v="3"/>
    <x v="2"/>
    <x v="3"/>
  </r>
  <r>
    <x v="87"/>
    <d v="2025-04-13T00:00:00"/>
    <s v="Laptop"/>
    <s v="Electronics"/>
    <x v="2"/>
    <n v="55000"/>
    <x v="1"/>
    <x v="5"/>
    <x v="3"/>
  </r>
  <r>
    <x v="88"/>
    <d v="2025-04-14T00:00:00"/>
    <s v="Office Chair"/>
    <s v="Furniture"/>
    <x v="2"/>
    <n v="7500"/>
    <x v="0"/>
    <x v="2"/>
    <x v="3"/>
  </r>
  <r>
    <x v="89"/>
    <d v="2025-04-15T00:00:00"/>
    <s v="Bookshelf"/>
    <s v="Furniture"/>
    <x v="0"/>
    <n v="6000"/>
    <x v="3"/>
    <x v="3"/>
    <x v="3"/>
  </r>
  <r>
    <x v="90"/>
    <d v="2025-04-16T00:00:00"/>
    <s v="Mouse"/>
    <s v="Electronics"/>
    <x v="6"/>
    <n v="800"/>
    <x v="2"/>
    <x v="15"/>
    <x v="3"/>
  </r>
  <r>
    <x v="91"/>
    <d v="2025-04-17T00:00:00"/>
    <s v="Monitor"/>
    <s v="Electronics"/>
    <x v="3"/>
    <n v="18000"/>
    <x v="1"/>
    <x v="13"/>
    <x v="3"/>
  </r>
  <r>
    <x v="92"/>
    <d v="2025-04-18T00:00:00"/>
    <s v="Keyboard"/>
    <s v="Electronics"/>
    <x v="3"/>
    <n v="1500"/>
    <x v="0"/>
    <x v="4"/>
    <x v="3"/>
  </r>
  <r>
    <x v="93"/>
    <d v="2025-04-19T00:00:00"/>
    <s v="Laptop"/>
    <s v="Electronics"/>
    <x v="0"/>
    <n v="55000"/>
    <x v="2"/>
    <x v="0"/>
    <x v="3"/>
  </r>
  <r>
    <x v="94"/>
    <d v="2025-04-20T00:00:00"/>
    <s v="Desk"/>
    <s v="Furniture"/>
    <x v="2"/>
    <n v="12000"/>
    <x v="3"/>
    <x v="3"/>
    <x v="3"/>
  </r>
  <r>
    <x v="95"/>
    <m/>
    <m/>
    <m/>
    <x v="8"/>
    <m/>
    <x v="4"/>
    <x v="17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1001"/>
    <d v="2025-01-02T00:00:00"/>
    <x v="0"/>
    <x v="0"/>
    <n v="2"/>
    <n v="55000"/>
    <x v="0"/>
    <n v="110000"/>
    <s v="Jan"/>
    <n v="42332.4"/>
  </r>
  <r>
    <n v="1002"/>
    <d v="2025-01-03T00:00:00"/>
    <x v="1"/>
    <x v="0"/>
    <n v="5"/>
    <n v="800"/>
    <x v="1"/>
    <n v="4000"/>
    <s v="Jan"/>
    <n v="10293.4"/>
  </r>
  <r>
    <n v="1003"/>
    <d v="2025-01-04T00:00:00"/>
    <x v="2"/>
    <x v="1"/>
    <n v="1"/>
    <n v="7500"/>
    <x v="2"/>
    <n v="7500"/>
    <s v="Jan"/>
    <n v="12333"/>
  </r>
  <r>
    <n v="1004"/>
    <d v="2025-01-05T00:00:00"/>
    <x v="3"/>
    <x v="1"/>
    <n v="1"/>
    <n v="12000"/>
    <x v="3"/>
    <n v="12000"/>
    <s v="Jan"/>
    <n v="14133.4"/>
  </r>
  <r>
    <n v="1005"/>
    <d v="2025-01-05T00:00:00"/>
    <x v="4"/>
    <x v="0"/>
    <n v="3"/>
    <n v="1500"/>
    <x v="0"/>
    <n v="4500"/>
    <s v="Jan"/>
    <n v="10534"/>
  </r>
  <r>
    <n v="1006"/>
    <d v="2025-01-06T00:00:00"/>
    <x v="0"/>
    <x v="0"/>
    <n v="1"/>
    <n v="55000"/>
    <x v="1"/>
    <n v="55000"/>
    <s v="Jan"/>
    <n v="31334"/>
  </r>
  <r>
    <n v="1007"/>
    <d v="2025-01-07T00:00:00"/>
    <x v="5"/>
    <x v="1"/>
    <n v="2"/>
    <n v="6000"/>
    <x v="2"/>
    <n v="12000"/>
    <s v="Jan"/>
    <n v="12934.6"/>
  </r>
  <r>
    <n v="1008"/>
    <d v="2025-01-08T00:00:00"/>
    <x v="6"/>
    <x v="0"/>
    <n v="2"/>
    <n v="18000"/>
    <x v="3"/>
    <n v="36000"/>
    <s v="Jan"/>
    <n v="20135"/>
  </r>
  <r>
    <n v="1009"/>
    <d v="2025-01-09T00:00:00"/>
    <x v="1"/>
    <x v="0"/>
    <n v="4"/>
    <n v="800"/>
    <x v="0"/>
    <n v="3200"/>
    <s v="Jan"/>
    <n v="10135.799999999999"/>
  </r>
  <r>
    <n v="1010"/>
    <d v="2025-01-10T00:00:00"/>
    <x v="3"/>
    <x v="1"/>
    <n v="1"/>
    <n v="12000"/>
    <x v="1"/>
    <n v="12000"/>
    <s v="Jan"/>
    <n v="14135.6"/>
  </r>
  <r>
    <n v="1011"/>
    <d v="2025-01-11T00:00:00"/>
    <x v="4"/>
    <x v="0"/>
    <n v="2"/>
    <n v="1500"/>
    <x v="2"/>
    <n v="3000"/>
    <s v="Jan"/>
    <n v="10236.200000000001"/>
  </r>
  <r>
    <n v="1012"/>
    <d v="2025-01-12T00:00:00"/>
    <x v="0"/>
    <x v="0"/>
    <n v="1"/>
    <n v="55000"/>
    <x v="3"/>
    <n v="55000"/>
    <s v="Jan"/>
    <n v="31336.400000000001"/>
  </r>
  <r>
    <n v="1013"/>
    <d v="2025-01-13T00:00:00"/>
    <x v="2"/>
    <x v="1"/>
    <n v="2"/>
    <n v="7500"/>
    <x v="0"/>
    <n v="15000"/>
    <s v="Jan"/>
    <n v="13837"/>
  </r>
  <r>
    <n v="1014"/>
    <d v="2025-01-14T00:00:00"/>
    <x v="6"/>
    <x v="0"/>
    <n v="1"/>
    <n v="18000"/>
    <x v="1"/>
    <n v="18000"/>
    <s v="Jan"/>
    <n v="16537.2"/>
  </r>
  <r>
    <n v="1015"/>
    <d v="2025-01-15T00:00:00"/>
    <x v="5"/>
    <x v="1"/>
    <n v="1"/>
    <n v="6000"/>
    <x v="2"/>
    <n v="6000"/>
    <s v="Jan"/>
    <n v="11737.6"/>
  </r>
  <r>
    <n v="1016"/>
    <d v="2025-01-16T00:00:00"/>
    <x v="1"/>
    <x v="0"/>
    <n v="6"/>
    <n v="800"/>
    <x v="3"/>
    <n v="4800"/>
    <s v="Jan"/>
    <n v="10459"/>
  </r>
  <r>
    <n v="1017"/>
    <d v="2025-01-17T00:00:00"/>
    <x v="4"/>
    <x v="0"/>
    <n v="4"/>
    <n v="1500"/>
    <x v="0"/>
    <n v="6000"/>
    <s v="Jan"/>
    <n v="10839"/>
  </r>
  <r>
    <n v="1018"/>
    <d v="2025-01-18T00:00:00"/>
    <x v="0"/>
    <x v="0"/>
    <n v="2"/>
    <n v="55000"/>
    <x v="2"/>
    <n v="110000"/>
    <s v="Jan"/>
    <n v="42339"/>
  </r>
  <r>
    <n v="1019"/>
    <d v="2025-01-19T00:00:00"/>
    <x v="3"/>
    <x v="1"/>
    <n v="1"/>
    <n v="12000"/>
    <x v="1"/>
    <n v="12000"/>
    <s v="Jan"/>
    <n v="14139.2"/>
  </r>
  <r>
    <n v="1020"/>
    <d v="2025-01-20T00:00:00"/>
    <x v="6"/>
    <x v="0"/>
    <n v="3"/>
    <n v="18000"/>
    <x v="0"/>
    <n v="54000"/>
    <s v="Jan"/>
    <n v="23740"/>
  </r>
  <r>
    <n v="1021"/>
    <d v="2025-01-21T00:00:00"/>
    <x v="1"/>
    <x v="0"/>
    <n v="5"/>
    <n v="800"/>
    <x v="2"/>
    <n v="4000"/>
    <s v="Jan"/>
    <n v="10300.799999999999"/>
  </r>
  <r>
    <n v="1022"/>
    <d v="2025-01-22T00:00:00"/>
    <x v="2"/>
    <x v="1"/>
    <n v="1"/>
    <n v="7500"/>
    <x v="3"/>
    <n v="7500"/>
    <s v="Jan"/>
    <n v="12340.4"/>
  </r>
  <r>
    <n v="1023"/>
    <d v="2025-01-23T00:00:00"/>
    <x v="0"/>
    <x v="0"/>
    <n v="1"/>
    <n v="55000"/>
    <x v="0"/>
    <n v="55000"/>
    <s v="Jan"/>
    <n v="31340.799999999999"/>
  </r>
  <r>
    <n v="1024"/>
    <d v="2025-01-24T00:00:00"/>
    <x v="5"/>
    <x v="1"/>
    <n v="2"/>
    <n v="6000"/>
    <x v="1"/>
    <n v="12000"/>
    <s v="Jan"/>
    <n v="12941.4"/>
  </r>
  <r>
    <n v="1025"/>
    <d v="2025-01-25T00:00:00"/>
    <x v="4"/>
    <x v="0"/>
    <n v="3"/>
    <n v="1500"/>
    <x v="2"/>
    <n v="4500"/>
    <s v="Jan"/>
    <n v="10542"/>
  </r>
  <r>
    <n v="1026"/>
    <d v="2025-01-26T00:00:00"/>
    <x v="6"/>
    <x v="0"/>
    <n v="2"/>
    <n v="18000"/>
    <x v="3"/>
    <n v="36000"/>
    <s v="Jan"/>
    <n v="20142.2"/>
  </r>
  <r>
    <n v="1027"/>
    <d v="2025-01-27T00:00:00"/>
    <x v="3"/>
    <x v="1"/>
    <n v="1"/>
    <n v="12000"/>
    <x v="0"/>
    <n v="12000"/>
    <s v="Jan"/>
    <n v="14142.4"/>
  </r>
  <r>
    <n v="1028"/>
    <d v="2025-01-28T00:00:00"/>
    <x v="1"/>
    <x v="0"/>
    <n v="4"/>
    <n v="800"/>
    <x v="1"/>
    <n v="3200"/>
    <s v="Jan"/>
    <n v="10143.4"/>
  </r>
  <r>
    <n v="1029"/>
    <d v="2025-01-29T00:00:00"/>
    <x v="0"/>
    <x v="0"/>
    <n v="2"/>
    <n v="55000"/>
    <x v="2"/>
    <n v="110000"/>
    <s v="Jan"/>
    <n v="42343.4"/>
  </r>
  <r>
    <n v="1030"/>
    <d v="2025-01-30T00:00:00"/>
    <x v="2"/>
    <x v="1"/>
    <n v="2"/>
    <n v="7500"/>
    <x v="3"/>
    <n v="15000"/>
    <s v="Jan"/>
    <n v="13843.8"/>
  </r>
  <r>
    <n v="1031"/>
    <d v="2025-02-01T00:00:00"/>
    <x v="1"/>
    <x v="0"/>
    <n v="5"/>
    <n v="800"/>
    <x v="0"/>
    <n v="4000"/>
    <s v="Feb"/>
    <n v="10305"/>
  </r>
  <r>
    <n v="1032"/>
    <d v="2025-02-02T00:00:00"/>
    <x v="0"/>
    <x v="0"/>
    <n v="1"/>
    <n v="55000"/>
    <x v="1"/>
    <n v="55000"/>
    <s v="Feb"/>
    <n v="31344.6"/>
  </r>
  <r>
    <n v="1033"/>
    <d v="2025-02-03T00:00:00"/>
    <x v="3"/>
    <x v="1"/>
    <n v="2"/>
    <n v="12000"/>
    <x v="2"/>
    <n v="24000"/>
    <s v="Feb"/>
    <n v="16545.2"/>
  </r>
  <r>
    <n v="1034"/>
    <d v="2025-02-04T00:00:00"/>
    <x v="4"/>
    <x v="0"/>
    <n v="4"/>
    <n v="1500"/>
    <x v="3"/>
    <n v="6000"/>
    <s v="Feb"/>
    <n v="10846"/>
  </r>
  <r>
    <n v="1035"/>
    <d v="2025-02-05T00:00:00"/>
    <x v="6"/>
    <x v="0"/>
    <n v="2"/>
    <n v="18000"/>
    <x v="0"/>
    <n v="36000"/>
    <s v="Feb"/>
    <n v="20146"/>
  </r>
  <r>
    <n v="1036"/>
    <d v="2025-02-06T00:00:00"/>
    <x v="2"/>
    <x v="1"/>
    <n v="1"/>
    <n v="7500"/>
    <x v="1"/>
    <n v="7500"/>
    <s v="Feb"/>
    <n v="12346.2"/>
  </r>
  <r>
    <n v="1037"/>
    <d v="2025-02-07T00:00:00"/>
    <x v="5"/>
    <x v="1"/>
    <n v="2"/>
    <n v="6000"/>
    <x v="2"/>
    <n v="12000"/>
    <s v="Feb"/>
    <n v="12946.8"/>
  </r>
  <r>
    <n v="1038"/>
    <d v="2025-02-08T00:00:00"/>
    <x v="0"/>
    <x v="0"/>
    <n v="2"/>
    <n v="55000"/>
    <x v="3"/>
    <n v="110000"/>
    <s v="Feb"/>
    <n v="42347.199999999997"/>
  </r>
  <r>
    <n v="1039"/>
    <d v="2025-02-09T00:00:00"/>
    <x v="1"/>
    <x v="0"/>
    <n v="6"/>
    <n v="800"/>
    <x v="0"/>
    <n v="4800"/>
    <s v="Feb"/>
    <n v="10468.4"/>
  </r>
  <r>
    <n v="1040"/>
    <d v="2025-02-10T00:00:00"/>
    <x v="3"/>
    <x v="1"/>
    <n v="1"/>
    <n v="12000"/>
    <x v="1"/>
    <n v="12000"/>
    <s v="Feb"/>
    <n v="14147.8"/>
  </r>
  <r>
    <n v="1041"/>
    <d v="2025-02-11T00:00:00"/>
    <x v="4"/>
    <x v="0"/>
    <n v="3"/>
    <n v="1500"/>
    <x v="2"/>
    <n v="4500"/>
    <s v="Feb"/>
    <n v="10548.6"/>
  </r>
  <r>
    <n v="1042"/>
    <d v="2025-02-12T00:00:00"/>
    <x v="6"/>
    <x v="0"/>
    <n v="1"/>
    <n v="18000"/>
    <x v="3"/>
    <n v="18000"/>
    <s v="Feb"/>
    <n v="16548.599999999999"/>
  </r>
  <r>
    <n v="1043"/>
    <d v="2025-02-13T00:00:00"/>
    <x v="0"/>
    <x v="0"/>
    <n v="1"/>
    <n v="55000"/>
    <x v="0"/>
    <n v="55000"/>
    <s v="Feb"/>
    <n v="31349"/>
  </r>
  <r>
    <n v="1044"/>
    <d v="2025-02-14T00:00:00"/>
    <x v="2"/>
    <x v="1"/>
    <n v="2"/>
    <n v="7500"/>
    <x v="1"/>
    <n v="15000"/>
    <s v="Feb"/>
    <n v="13849.6"/>
  </r>
  <r>
    <n v="1045"/>
    <d v="2025-02-15T00:00:00"/>
    <x v="5"/>
    <x v="1"/>
    <n v="1"/>
    <n v="6000"/>
    <x v="2"/>
    <n v="6000"/>
    <s v="Feb"/>
    <n v="11749.8"/>
  </r>
  <r>
    <n v="1046"/>
    <d v="2025-02-16T00:00:00"/>
    <x v="1"/>
    <x v="0"/>
    <n v="4"/>
    <n v="800"/>
    <x v="3"/>
    <n v="3200"/>
    <s v="Feb"/>
    <n v="10150.799999999999"/>
  </r>
  <r>
    <n v="1047"/>
    <d v="2025-02-17T00:00:00"/>
    <x v="4"/>
    <x v="0"/>
    <n v="5"/>
    <n v="1500"/>
    <x v="0"/>
    <n v="7500"/>
    <s v="Feb"/>
    <n v="11151.4"/>
  </r>
  <r>
    <n v="1048"/>
    <d v="2025-02-18T00:00:00"/>
    <x v="6"/>
    <x v="0"/>
    <n v="2"/>
    <n v="18000"/>
    <x v="1"/>
    <n v="36000"/>
    <s v="Feb"/>
    <n v="20151.2"/>
  </r>
  <r>
    <n v="1049"/>
    <d v="2025-02-19T00:00:00"/>
    <x v="0"/>
    <x v="0"/>
    <n v="2"/>
    <n v="55000"/>
    <x v="2"/>
    <n v="110000"/>
    <s v="Feb"/>
    <n v="42351.6"/>
  </r>
  <r>
    <n v="1050"/>
    <d v="2025-02-20T00:00:00"/>
    <x v="3"/>
    <x v="1"/>
    <n v="1"/>
    <n v="12000"/>
    <x v="3"/>
    <n v="12000"/>
    <s v="Feb"/>
    <n v="14151.8"/>
  </r>
  <r>
    <n v="1051"/>
    <d v="2025-02-21T00:00:00"/>
    <x v="2"/>
    <x v="1"/>
    <n v="1"/>
    <n v="7500"/>
    <x v="0"/>
    <n v="7500"/>
    <s v="Feb"/>
    <n v="12352.2"/>
  </r>
  <r>
    <n v="1052"/>
    <d v="2025-02-22T00:00:00"/>
    <x v="1"/>
    <x v="0"/>
    <n v="5"/>
    <n v="800"/>
    <x v="1"/>
    <n v="4000"/>
    <s v="Feb"/>
    <n v="10313.4"/>
  </r>
  <r>
    <n v="1053"/>
    <d v="2025-02-23T00:00:00"/>
    <x v="4"/>
    <x v="0"/>
    <n v="2"/>
    <n v="1500"/>
    <x v="2"/>
    <n v="3000"/>
    <s v="Feb"/>
    <n v="10253.200000000001"/>
  </r>
  <r>
    <n v="1054"/>
    <d v="2025-02-24T00:00:00"/>
    <x v="6"/>
    <x v="0"/>
    <n v="3"/>
    <n v="18000"/>
    <x v="3"/>
    <n v="54000"/>
    <s v="Feb"/>
    <n v="23753.8"/>
  </r>
  <r>
    <n v="1055"/>
    <d v="2025-02-25T00:00:00"/>
    <x v="0"/>
    <x v="0"/>
    <n v="1"/>
    <n v="55000"/>
    <x v="0"/>
    <n v="55000"/>
    <s v="Feb"/>
    <n v="31353.8"/>
  </r>
  <r>
    <n v="1056"/>
    <d v="2025-03-01T00:00:00"/>
    <x v="0"/>
    <x v="0"/>
    <n v="1"/>
    <n v="55000"/>
    <x v="1"/>
    <n v="55000"/>
    <s v="Mar"/>
    <n v="31354.799999999999"/>
  </r>
  <r>
    <n v="1057"/>
    <d v="2025-03-02T00:00:00"/>
    <x v="1"/>
    <x v="0"/>
    <n v="7"/>
    <n v="800"/>
    <x v="0"/>
    <n v="5600"/>
    <s v="Mar"/>
    <n v="10636.4"/>
  </r>
  <r>
    <n v="1058"/>
    <d v="2025-03-03T00:00:00"/>
    <x v="6"/>
    <x v="0"/>
    <n v="2"/>
    <n v="18000"/>
    <x v="2"/>
    <n v="36000"/>
    <s v="Mar"/>
    <n v="20155.8"/>
  </r>
  <r>
    <n v="1059"/>
    <d v="2025-03-04T00:00:00"/>
    <x v="3"/>
    <x v="1"/>
    <n v="1"/>
    <n v="12000"/>
    <x v="3"/>
    <n v="12000"/>
    <s v="Mar"/>
    <n v="14156"/>
  </r>
  <r>
    <n v="1060"/>
    <d v="2025-03-05T00:00:00"/>
    <x v="4"/>
    <x v="0"/>
    <n v="4"/>
    <n v="1500"/>
    <x v="1"/>
    <n v="6000"/>
    <s v="Mar"/>
    <n v="10857"/>
  </r>
  <r>
    <n v="1061"/>
    <d v="2025-03-06T00:00:00"/>
    <x v="2"/>
    <x v="1"/>
    <n v="2"/>
    <n v="7500"/>
    <x v="0"/>
    <n v="15000"/>
    <s v="Mar"/>
    <n v="13857"/>
  </r>
  <r>
    <n v="1062"/>
    <d v="2025-03-07T00:00:00"/>
    <x v="5"/>
    <x v="1"/>
    <n v="1"/>
    <n v="6000"/>
    <x v="2"/>
    <n v="6000"/>
    <s v="Mar"/>
    <n v="11757.2"/>
  </r>
  <r>
    <n v="1063"/>
    <d v="2025-03-08T00:00:00"/>
    <x v="0"/>
    <x v="0"/>
    <n v="2"/>
    <n v="55000"/>
    <x v="3"/>
    <n v="110000"/>
    <s v="Mar"/>
    <n v="42357.8"/>
  </r>
  <r>
    <n v="1064"/>
    <d v="2025-03-09T00:00:00"/>
    <x v="1"/>
    <x v="0"/>
    <n v="5"/>
    <n v="800"/>
    <x v="1"/>
    <n v="4000"/>
    <s v="Mar"/>
    <n v="10318.799999999999"/>
  </r>
  <r>
    <n v="1065"/>
    <d v="2025-03-10T00:00:00"/>
    <x v="6"/>
    <x v="0"/>
    <n v="1"/>
    <n v="18000"/>
    <x v="0"/>
    <n v="18000"/>
    <s v="Mar"/>
    <n v="16558.400000000001"/>
  </r>
  <r>
    <n v="1066"/>
    <d v="2025-03-11T00:00:00"/>
    <x v="3"/>
    <x v="1"/>
    <n v="2"/>
    <n v="12000"/>
    <x v="2"/>
    <n v="24000"/>
    <s v="Mar"/>
    <n v="16559"/>
  </r>
  <r>
    <n v="1067"/>
    <d v="2025-03-12T00:00:00"/>
    <x v="4"/>
    <x v="0"/>
    <n v="3"/>
    <n v="1500"/>
    <x v="3"/>
    <n v="4500"/>
    <s v="Mar"/>
    <n v="10559.6"/>
  </r>
  <r>
    <n v="1068"/>
    <d v="2025-03-13T00:00:00"/>
    <x v="0"/>
    <x v="0"/>
    <n v="1"/>
    <n v="55000"/>
    <x v="0"/>
    <n v="55000"/>
    <s v="Mar"/>
    <n v="31359.599999999999"/>
  </r>
  <r>
    <n v="1069"/>
    <d v="2025-03-14T00:00:00"/>
    <x v="2"/>
    <x v="1"/>
    <n v="1"/>
    <n v="7500"/>
    <x v="1"/>
    <n v="7500"/>
    <s v="Mar"/>
    <n v="12360"/>
  </r>
  <r>
    <n v="1070"/>
    <d v="2025-03-15T00:00:00"/>
    <x v="5"/>
    <x v="1"/>
    <n v="2"/>
    <n v="6000"/>
    <x v="3"/>
    <n v="12000"/>
    <s v="Mar"/>
    <n v="12960.6"/>
  </r>
  <r>
    <n v="1071"/>
    <d v="2025-03-16T00:00:00"/>
    <x v="1"/>
    <x v="0"/>
    <n v="6"/>
    <n v="800"/>
    <x v="2"/>
    <n v="4800"/>
    <s v="Mar"/>
    <n v="10481.799999999999"/>
  </r>
  <r>
    <n v="1072"/>
    <d v="2025-03-17T00:00:00"/>
    <x v="6"/>
    <x v="0"/>
    <n v="3"/>
    <n v="18000"/>
    <x v="1"/>
    <n v="54000"/>
    <s v="Mar"/>
    <n v="23761.599999999999"/>
  </r>
  <r>
    <n v="1073"/>
    <d v="2025-03-18T00:00:00"/>
    <x v="4"/>
    <x v="0"/>
    <n v="5"/>
    <n v="1500"/>
    <x v="0"/>
    <n v="7500"/>
    <s v="Mar"/>
    <n v="11162.4"/>
  </r>
  <r>
    <n v="1074"/>
    <d v="2025-03-19T00:00:00"/>
    <x v="0"/>
    <x v="0"/>
    <n v="2"/>
    <n v="55000"/>
    <x v="2"/>
    <n v="110000"/>
    <s v="Mar"/>
    <n v="42362.2"/>
  </r>
  <r>
    <n v="1075"/>
    <d v="2025-03-20T00:00:00"/>
    <x v="3"/>
    <x v="1"/>
    <n v="1"/>
    <n v="12000"/>
    <x v="3"/>
    <n v="12000"/>
    <s v="Mar"/>
    <n v="14162.4"/>
  </r>
  <r>
    <n v="1076"/>
    <d v="2025-04-01T00:00:00"/>
    <x v="0"/>
    <x v="0"/>
    <n v="1"/>
    <n v="55000"/>
    <x v="0"/>
    <n v="55000"/>
    <s v="Apr"/>
    <n v="31365"/>
  </r>
  <r>
    <n v="1077"/>
    <d v="2025-04-02T00:00:00"/>
    <x v="6"/>
    <x v="0"/>
    <n v="2"/>
    <n v="18000"/>
    <x v="1"/>
    <n v="36000"/>
    <s v="Apr"/>
    <n v="20165.599999999999"/>
  </r>
  <r>
    <n v="1078"/>
    <d v="2025-04-03T00:00:00"/>
    <x v="1"/>
    <x v="0"/>
    <n v="8"/>
    <n v="800"/>
    <x v="2"/>
    <n v="6400"/>
    <s v="Apr"/>
    <n v="10807.2"/>
  </r>
  <r>
    <n v="1079"/>
    <d v="2025-04-04T00:00:00"/>
    <x v="3"/>
    <x v="1"/>
    <n v="1"/>
    <n v="12000"/>
    <x v="3"/>
    <n v="12000"/>
    <s v="Apr"/>
    <n v="14166.2"/>
  </r>
  <r>
    <n v="1080"/>
    <d v="2025-04-05T00:00:00"/>
    <x v="4"/>
    <x v="0"/>
    <n v="4"/>
    <n v="1500"/>
    <x v="0"/>
    <n v="6000"/>
    <s v="Apr"/>
    <n v="10867.2"/>
  </r>
  <r>
    <n v="1081"/>
    <d v="2025-04-06T00:00:00"/>
    <x v="2"/>
    <x v="1"/>
    <n v="2"/>
    <n v="7500"/>
    <x v="1"/>
    <n v="15000"/>
    <s v="Apr"/>
    <n v="13867.2"/>
  </r>
  <r>
    <n v="1082"/>
    <d v="2025-04-07T00:00:00"/>
    <x v="5"/>
    <x v="1"/>
    <n v="1"/>
    <n v="6000"/>
    <x v="2"/>
    <n v="6000"/>
    <s v="Apr"/>
    <n v="11767.4"/>
  </r>
  <r>
    <n v="1083"/>
    <d v="2025-04-08T00:00:00"/>
    <x v="0"/>
    <x v="0"/>
    <n v="2"/>
    <n v="55000"/>
    <x v="3"/>
    <n v="110000"/>
    <s v="Apr"/>
    <n v="42368"/>
  </r>
  <r>
    <n v="1084"/>
    <d v="2025-04-09T00:00:00"/>
    <x v="6"/>
    <x v="0"/>
    <n v="1"/>
    <n v="18000"/>
    <x v="0"/>
    <n v="18000"/>
    <s v="Apr"/>
    <n v="16568.2"/>
  </r>
  <r>
    <n v="1085"/>
    <d v="2025-04-10T00:00:00"/>
    <x v="1"/>
    <x v="0"/>
    <n v="6"/>
    <n v="800"/>
    <x v="1"/>
    <n v="4800"/>
    <s v="Apr"/>
    <n v="10489.6"/>
  </r>
  <r>
    <n v="1086"/>
    <d v="2025-04-11T00:00:00"/>
    <x v="3"/>
    <x v="1"/>
    <n v="2"/>
    <n v="12000"/>
    <x v="2"/>
    <n v="24000"/>
    <s v="Apr"/>
    <n v="16569.2"/>
  </r>
  <r>
    <n v="1087"/>
    <d v="2025-04-12T00:00:00"/>
    <x v="4"/>
    <x v="0"/>
    <n v="5"/>
    <n v="1500"/>
    <x v="3"/>
    <n v="7500"/>
    <s v="Apr"/>
    <n v="11170.2"/>
  </r>
  <r>
    <n v="1088"/>
    <d v="2025-04-13T00:00:00"/>
    <x v="0"/>
    <x v="0"/>
    <n v="1"/>
    <n v="55000"/>
    <x v="1"/>
    <n v="55000"/>
    <s v="Apr"/>
    <n v="31369.8"/>
  </r>
  <r>
    <n v="1089"/>
    <d v="2025-04-14T00:00:00"/>
    <x v="2"/>
    <x v="1"/>
    <n v="1"/>
    <n v="7500"/>
    <x v="0"/>
    <n v="7500"/>
    <s v="Apr"/>
    <n v="12370.2"/>
  </r>
  <r>
    <n v="1090"/>
    <d v="2025-04-15T00:00:00"/>
    <x v="5"/>
    <x v="1"/>
    <n v="2"/>
    <n v="6000"/>
    <x v="3"/>
    <n v="12000"/>
    <s v="Apr"/>
    <n v="12970.8"/>
  </r>
  <r>
    <n v="1091"/>
    <d v="2025-04-16T00:00:00"/>
    <x v="1"/>
    <x v="0"/>
    <n v="7"/>
    <n v="800"/>
    <x v="2"/>
    <n v="5600"/>
    <s v="Apr"/>
    <n v="10652.2"/>
  </r>
  <r>
    <n v="1092"/>
    <d v="2025-04-17T00:00:00"/>
    <x v="6"/>
    <x v="0"/>
    <n v="3"/>
    <n v="18000"/>
    <x v="1"/>
    <n v="54000"/>
    <s v="Apr"/>
    <n v="23771.8"/>
  </r>
  <r>
    <n v="1093"/>
    <d v="2025-04-18T00:00:00"/>
    <x v="4"/>
    <x v="0"/>
    <n v="3"/>
    <n v="1500"/>
    <x v="0"/>
    <n v="4500"/>
    <s v="Apr"/>
    <n v="10572.2"/>
  </r>
  <r>
    <n v="1094"/>
    <d v="2025-04-19T00:00:00"/>
    <x v="0"/>
    <x v="0"/>
    <n v="2"/>
    <n v="55000"/>
    <x v="2"/>
    <n v="110000"/>
    <s v="Apr"/>
    <n v="42372.4"/>
  </r>
  <r>
    <n v="1095"/>
    <d v="2025-04-20T00:00:00"/>
    <x v="3"/>
    <x v="1"/>
    <n v="1"/>
    <n v="12000"/>
    <x v="3"/>
    <n v="12000"/>
    <s v="Apr"/>
    <n v="14172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90B65-C0F9-46E6-A1A4-73E2C7A2FD3A}" name="PivotTable4" cacheId="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:I24" firstHeaderRow="1" firstDataRow="1" firstDataCol="2"/>
  <pivotFields count="9">
    <pivotField compact="0" outline="0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0">
        <item x="2"/>
        <item x="0"/>
        <item x="3"/>
        <item x="4"/>
        <item x="1"/>
        <item x="5"/>
        <item x="6"/>
        <item x="7"/>
        <item x="8"/>
        <item t="default"/>
      </items>
    </pivotField>
    <pivotField compact="0" outline="0" showAll="0"/>
    <pivotField axis="axisRow" compact="0" outline="0" showAll="0">
      <items count="6">
        <item x="3"/>
        <item x="1"/>
        <item x="0"/>
        <item x="2"/>
        <item x="4"/>
        <item t="default"/>
      </items>
    </pivotField>
    <pivotField dataField="1" compact="0" outline="0" showAll="0">
      <items count="19">
        <item x="8"/>
        <item x="7"/>
        <item x="1"/>
        <item x="4"/>
        <item x="12"/>
        <item x="15"/>
        <item x="11"/>
        <item x="16"/>
        <item x="2"/>
        <item x="3"/>
        <item x="9"/>
        <item x="10"/>
        <item x="14"/>
        <item x="6"/>
        <item x="13"/>
        <item x="5"/>
        <item x="0"/>
        <item x="17"/>
        <item t="default"/>
      </items>
    </pivotField>
    <pivotField axis="axisRow" compact="0" outline="0" showAll="0">
      <items count="6">
        <item x="0"/>
        <item x="1"/>
        <item x="2"/>
        <item x="3"/>
        <item n="May" x="4"/>
        <item t="default"/>
      </items>
    </pivotField>
  </pivotFields>
  <rowFields count="2">
    <field x="6"/>
    <field x="8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 v="4"/>
    </i>
    <i t="default">
      <x v="4"/>
    </i>
    <i t="grand">
      <x/>
    </i>
  </rowItems>
  <colItems count="1">
    <i/>
  </colItems>
  <dataFields count="1">
    <dataField name="Sum of Revenue" fld="7" baseField="0" baseItem="0"/>
  </dataFields>
  <formats count="12">
    <format dxfId="25">
      <pivotArea type="all" dataOnly="0" outline="0" fieldPosition="0"/>
    </format>
    <format dxfId="26">
      <pivotArea outline="0" collapsedLevelsAreSubtotals="1" fieldPosition="0"/>
    </format>
    <format dxfId="27">
      <pivotArea type="origin" dataOnly="0" labelOnly="1" outline="0" fieldPosition="0"/>
    </format>
    <format dxfId="28">
      <pivotArea dataOnly="0" labelOnly="1" outline="0" axis="axisValues" fieldPosition="0"/>
    </format>
    <format dxfId="29">
      <pivotArea field="8" type="button" dataOnly="0" labelOnly="1" outline="0" axis="axisRow" fieldPosition="1"/>
    </format>
    <format dxfId="30">
      <pivotArea type="topRight" dataOnly="0" labelOnly="1" outline="0" fieldPosition="0"/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type="origin" dataOnly="0" labelOnly="1" outline="0" fieldPosition="0"/>
    </format>
    <format dxfId="34">
      <pivotArea dataOnly="0" labelOnly="1" outline="0" axis="axisValues" fieldPosition="0"/>
    </format>
    <format dxfId="35">
      <pivotArea field="8" type="button" dataOnly="0" labelOnly="1" outline="0" axis="axisRow" fieldPosition="1"/>
    </format>
    <format dxfId="36">
      <pivotArea type="topRight" dataOnly="0" labelOnly="1" outline="0" fieldPosition="0"/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77AB2-870A-420F-B417-D57A81C0418D}" name="PivotTable2" cacheId="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2:E8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0">
        <item x="2"/>
        <item x="0"/>
        <item x="3"/>
        <item x="4"/>
        <item x="1"/>
        <item x="5"/>
        <item x="6"/>
        <item x="7"/>
        <item x="8"/>
        <item t="default"/>
      </items>
    </pivotField>
    <pivotField compact="0" outline="0" showAll="0"/>
    <pivotField compact="0" outline="0" showAll="0">
      <items count="6">
        <item x="3"/>
        <item x="1"/>
        <item x="0"/>
        <item x="2"/>
        <item x="4"/>
        <item t="default"/>
      </items>
    </pivotField>
    <pivotField dataField="1" compact="0" outline="0" showAll="0">
      <items count="19">
        <item x="8"/>
        <item x="7"/>
        <item x="1"/>
        <item x="4"/>
        <item x="12"/>
        <item x="15"/>
        <item x="11"/>
        <item x="16"/>
        <item x="2"/>
        <item x="3"/>
        <item x="9"/>
        <item x="10"/>
        <item x="14"/>
        <item x="6"/>
        <item x="13"/>
        <item x="5"/>
        <item x="0"/>
        <item x="17"/>
        <item t="default"/>
      </items>
    </pivotField>
    <pivotField axis="axisRow" compact="0" outline="0" showAll="0">
      <items count="6">
        <item x="0"/>
        <item x="1"/>
        <item x="2"/>
        <item x="3"/>
        <item n="May"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formats count="12">
    <format dxfId="13">
      <pivotArea type="all" dataOnly="0" outline="0" fieldPosition="0"/>
    </format>
    <format dxfId="14">
      <pivotArea outline="0" collapsedLevelsAreSubtotals="1" fieldPosition="0"/>
    </format>
    <format dxfId="15">
      <pivotArea type="origin" dataOnly="0" labelOnly="1" outline="0" fieldPosition="0"/>
    </format>
    <format dxfId="16">
      <pivotArea dataOnly="0" labelOnly="1" outline="0" axis="axisValues" fieldPosition="0"/>
    </format>
    <format dxfId="17">
      <pivotArea field="8" type="button" dataOnly="0" labelOnly="1" outline="0" axis="axisRow" fieldPosition="0"/>
    </format>
    <format dxfId="18">
      <pivotArea type="topRight" dataOnly="0" labelOnly="1" outline="0" fieldPosition="0"/>
    </format>
    <format dxfId="19">
      <pivotArea type="all" dataOnly="0" outline="0" fieldPosition="0"/>
    </format>
    <format dxfId="20">
      <pivotArea outline="0" collapsedLevelsAreSubtotals="1" fieldPosition="0"/>
    </format>
    <format dxfId="21">
      <pivotArea type="origin" dataOnly="0" labelOnly="1" outline="0" fieldPosition="0"/>
    </format>
    <format dxfId="22">
      <pivotArea dataOnly="0" labelOnly="1" outline="0" axis="axisValues" fieldPosition="0"/>
    </format>
    <format dxfId="23">
      <pivotArea field="8" type="button" dataOnly="0" labelOnly="1" outline="0" axis="axisRow" fieldPosition="0"/>
    </format>
    <format dxfId="24">
      <pivotArea type="topRight" dataOnly="0" labelOnly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BF707-DB60-4CED-BA36-866BE9C203C7}" name="PivotTable5" cacheId="2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1" firstHeaderRow="1" firstDataRow="1" firstDataCol="1"/>
  <pivotFields count="10">
    <pivotField compact="0" outline="0" showAll="0"/>
    <pivotField compact="0" numFmtId="14" outline="0" showAll="0"/>
    <pivotField axis="axisRow" compact="0" outline="0" showAll="0" sortType="ascending">
      <items count="8">
        <item x="5"/>
        <item x="3"/>
        <item x="4"/>
        <item x="0"/>
        <item x="6"/>
        <item x="1"/>
        <item x="2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7" baseField="0" baseItem="0"/>
  </dataField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F6F01-8F17-42FD-AA03-16CED6562EA4}" name="PivotTable6" cacheId="2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10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Revenue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41A79-FEF9-43B8-B32A-9AA146FC4685}" name="PivotTable7" cacheId="2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3:C8" firstHeaderRow="1" firstDataRow="1" firstDataCol="1"/>
  <pivotFields count="1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2"/>
        <item x="0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CF5B39-1E08-4A91-97F8-564BAD2BDEBB}" name="Table1" displayName="Table1" ref="A1:J96" totalsRowShown="0" headerRowDxfId="12" dataDxfId="11">
  <autoFilter ref="A1:J96" xr:uid="{FFCF5B39-1E08-4A91-97F8-564BAD2BDEBB}"/>
  <tableColumns count="10">
    <tableColumn id="1" xr3:uid="{748AC8CB-323A-4F62-A83E-95476421AF64}" name="Order_ID" dataDxfId="10"/>
    <tableColumn id="2" xr3:uid="{7CD2514D-B967-4C34-AAA4-4CA5FF299A57}" name="Order_Date" dataDxfId="9"/>
    <tableColumn id="3" xr3:uid="{615BB022-52AB-4541-BFD9-7E94D6E95F32}" name="Product" dataDxfId="8"/>
    <tableColumn id="4" xr3:uid="{BC8DDC64-522B-44CF-B5F0-FBC4BC304505}" name="Category" dataDxfId="7"/>
    <tableColumn id="5" xr3:uid="{D75126BC-0089-49CB-89DC-1777B9F598C4}" name="Quantity" dataDxfId="6"/>
    <tableColumn id="6" xr3:uid="{866507F7-E30B-4972-BCDB-4A6D2905FC8F}" name="Unit_Price" dataDxfId="5"/>
    <tableColumn id="7" xr3:uid="{3DDCC0F4-7BD8-42A4-BC05-C66529595EC5}" name="City" dataDxfId="4"/>
    <tableColumn id="8" xr3:uid="{B3559E45-505E-411E-A85A-C038B4FF77EA}" name="Revenue" dataDxfId="3"/>
    <tableColumn id="9" xr3:uid="{CD604B2E-9844-4F90-B5DB-6C24174E3894}" name="Month" dataDxfId="2">
      <calculatedColumnFormula>TEXT(B2,"mmm")</calculatedColumnFormula>
    </tableColumn>
    <tableColumn id="10" xr3:uid="{58919189-D922-4F5D-B6D6-BEC4FAA063E0}" name="Average" dataDxfId="1">
      <calculatedColumnFormula>AVERAGE(A2:I2)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5D1D93-B003-41AC-B9AE-C28BB08F1C5B}" name="Table2" displayName="Table2" ref="G4:H8" totalsRowShown="0" headerRowDxfId="0">
  <autoFilter ref="G4:H8" xr:uid="{165D1D93-B003-41AC-B9AE-C28BB08F1C5B}"/>
  <tableColumns count="2">
    <tableColumn id="1" xr3:uid="{B9676A7C-1FAD-4EE5-A460-94A223D83ED7}" name="KPI"/>
    <tableColumn id="2" xr3:uid="{24EB9C2B-C32E-418B-9900-BB04A5271CF1}" name="Valu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80E7-5E32-414B-B6C1-702AE5C37ED9}">
  <dimension ref="A1:I96"/>
  <sheetViews>
    <sheetView workbookViewId="0">
      <selection activeCell="A5" sqref="A5"/>
    </sheetView>
  </sheetViews>
  <sheetFormatPr defaultRowHeight="15"/>
  <cols>
    <col min="2" max="2" width="15.42578125" style="1" customWidth="1"/>
    <col min="3" max="3" width="14.7109375" customWidth="1"/>
    <col min="4" max="4" width="16.28515625" customWidth="1"/>
  </cols>
  <sheetData>
    <row r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s="1">
        <v>45659</v>
      </c>
      <c r="C2" t="s">
        <v>9</v>
      </c>
      <c r="D2" t="s">
        <v>10</v>
      </c>
      <c r="E2">
        <v>2</v>
      </c>
      <c r="F2">
        <v>55000</v>
      </c>
      <c r="G2" t="s">
        <v>11</v>
      </c>
      <c r="H2">
        <v>110000</v>
      </c>
      <c r="I2" t="str">
        <f>TEXT(B2,"mmm")</f>
        <v>Jan</v>
      </c>
    </row>
    <row r="3" spans="1:9">
      <c r="A3">
        <v>1002</v>
      </c>
      <c r="B3" s="1">
        <v>45660</v>
      </c>
      <c r="C3" t="s">
        <v>12</v>
      </c>
      <c r="D3" t="s">
        <v>10</v>
      </c>
      <c r="E3">
        <v>5</v>
      </c>
      <c r="F3">
        <v>800</v>
      </c>
      <c r="G3" t="s">
        <v>13</v>
      </c>
      <c r="H3">
        <v>4000</v>
      </c>
      <c r="I3" t="str">
        <f t="shared" ref="I3:I66" si="0">TEXT(B3,"mmm")</f>
        <v>Jan</v>
      </c>
    </row>
    <row r="4" spans="1:9">
      <c r="A4">
        <v>1003</v>
      </c>
      <c r="B4" s="1">
        <v>45661</v>
      </c>
      <c r="C4" t="s">
        <v>14</v>
      </c>
      <c r="D4" t="s">
        <v>15</v>
      </c>
      <c r="E4">
        <v>1</v>
      </c>
      <c r="F4">
        <v>7500</v>
      </c>
      <c r="G4" t="s">
        <v>16</v>
      </c>
      <c r="H4">
        <v>7500</v>
      </c>
      <c r="I4" t="str">
        <f t="shared" si="0"/>
        <v>Jan</v>
      </c>
    </row>
    <row r="5" spans="1:9">
      <c r="A5">
        <v>1004</v>
      </c>
      <c r="B5" s="1">
        <v>45662</v>
      </c>
      <c r="C5" t="s">
        <v>17</v>
      </c>
      <c r="D5" t="s">
        <v>15</v>
      </c>
      <c r="E5">
        <v>1</v>
      </c>
      <c r="F5">
        <v>12000</v>
      </c>
      <c r="G5" t="s">
        <v>18</v>
      </c>
      <c r="H5">
        <v>12000</v>
      </c>
      <c r="I5" t="str">
        <f t="shared" si="0"/>
        <v>Jan</v>
      </c>
    </row>
    <row r="6" spans="1:9">
      <c r="A6">
        <v>1005</v>
      </c>
      <c r="B6" s="1">
        <v>45662</v>
      </c>
      <c r="C6" t="s">
        <v>19</v>
      </c>
      <c r="D6" t="s">
        <v>10</v>
      </c>
      <c r="E6">
        <v>3</v>
      </c>
      <c r="F6">
        <v>1500</v>
      </c>
      <c r="G6" t="s">
        <v>11</v>
      </c>
      <c r="H6">
        <v>4500</v>
      </c>
      <c r="I6" t="str">
        <f t="shared" si="0"/>
        <v>Jan</v>
      </c>
    </row>
    <row r="7" spans="1:9">
      <c r="A7">
        <v>1006</v>
      </c>
      <c r="B7" s="1">
        <v>45663</v>
      </c>
      <c r="C7" t="s">
        <v>9</v>
      </c>
      <c r="D7" t="s">
        <v>10</v>
      </c>
      <c r="E7">
        <v>1</v>
      </c>
      <c r="F7">
        <v>55000</v>
      </c>
      <c r="G7" t="s">
        <v>13</v>
      </c>
      <c r="H7">
        <v>55000</v>
      </c>
      <c r="I7" t="str">
        <f t="shared" si="0"/>
        <v>Jan</v>
      </c>
    </row>
    <row r="8" spans="1:9">
      <c r="A8">
        <v>1007</v>
      </c>
      <c r="B8" s="1">
        <v>45664</v>
      </c>
      <c r="C8" t="s">
        <v>20</v>
      </c>
      <c r="D8" t="s">
        <v>15</v>
      </c>
      <c r="E8">
        <v>2</v>
      </c>
      <c r="F8">
        <v>6000</v>
      </c>
      <c r="G8" t="s">
        <v>16</v>
      </c>
      <c r="H8">
        <v>12000</v>
      </c>
      <c r="I8" t="str">
        <f t="shared" si="0"/>
        <v>Jan</v>
      </c>
    </row>
    <row r="9" spans="1:9">
      <c r="A9">
        <v>1008</v>
      </c>
      <c r="B9" s="1">
        <v>45665</v>
      </c>
      <c r="C9" t="s">
        <v>21</v>
      </c>
      <c r="D9" t="s">
        <v>10</v>
      </c>
      <c r="E9">
        <v>2</v>
      </c>
      <c r="F9">
        <v>18000</v>
      </c>
      <c r="G9" t="s">
        <v>18</v>
      </c>
      <c r="H9">
        <v>36000</v>
      </c>
      <c r="I9" t="str">
        <f t="shared" si="0"/>
        <v>Jan</v>
      </c>
    </row>
    <row r="10" spans="1:9">
      <c r="A10">
        <v>1009</v>
      </c>
      <c r="B10" s="1">
        <v>45666</v>
      </c>
      <c r="C10" t="s">
        <v>12</v>
      </c>
      <c r="D10" t="s">
        <v>10</v>
      </c>
      <c r="E10">
        <v>4</v>
      </c>
      <c r="F10">
        <v>800</v>
      </c>
      <c r="G10" t="s">
        <v>11</v>
      </c>
      <c r="H10">
        <v>3200</v>
      </c>
      <c r="I10" t="str">
        <f t="shared" si="0"/>
        <v>Jan</v>
      </c>
    </row>
    <row r="11" spans="1:9">
      <c r="A11">
        <v>1010</v>
      </c>
      <c r="B11" s="1">
        <v>45667</v>
      </c>
      <c r="C11" t="s">
        <v>17</v>
      </c>
      <c r="D11" t="s">
        <v>15</v>
      </c>
      <c r="E11">
        <v>1</v>
      </c>
      <c r="F11">
        <v>12000</v>
      </c>
      <c r="G11" t="s">
        <v>13</v>
      </c>
      <c r="H11">
        <v>12000</v>
      </c>
      <c r="I11" t="str">
        <f t="shared" si="0"/>
        <v>Jan</v>
      </c>
    </row>
    <row r="12" spans="1:9">
      <c r="A12">
        <v>1011</v>
      </c>
      <c r="B12" s="1">
        <v>45668</v>
      </c>
      <c r="C12" t="s">
        <v>19</v>
      </c>
      <c r="D12" t="s">
        <v>10</v>
      </c>
      <c r="E12">
        <v>2</v>
      </c>
      <c r="F12">
        <v>1500</v>
      </c>
      <c r="G12" t="s">
        <v>16</v>
      </c>
      <c r="H12">
        <v>3000</v>
      </c>
      <c r="I12" t="str">
        <f t="shared" si="0"/>
        <v>Jan</v>
      </c>
    </row>
    <row r="13" spans="1:9">
      <c r="A13">
        <v>1012</v>
      </c>
      <c r="B13" s="1">
        <v>45669</v>
      </c>
      <c r="C13" t="s">
        <v>9</v>
      </c>
      <c r="D13" t="s">
        <v>10</v>
      </c>
      <c r="E13">
        <v>1</v>
      </c>
      <c r="F13">
        <v>55000</v>
      </c>
      <c r="G13" t="s">
        <v>18</v>
      </c>
      <c r="H13">
        <v>55000</v>
      </c>
      <c r="I13" t="str">
        <f t="shared" si="0"/>
        <v>Jan</v>
      </c>
    </row>
    <row r="14" spans="1:9">
      <c r="A14">
        <v>1013</v>
      </c>
      <c r="B14" s="1">
        <v>45670</v>
      </c>
      <c r="C14" t="s">
        <v>14</v>
      </c>
      <c r="D14" t="s">
        <v>15</v>
      </c>
      <c r="E14">
        <v>2</v>
      </c>
      <c r="F14">
        <v>7500</v>
      </c>
      <c r="G14" t="s">
        <v>11</v>
      </c>
      <c r="H14">
        <v>15000</v>
      </c>
      <c r="I14" t="str">
        <f t="shared" si="0"/>
        <v>Jan</v>
      </c>
    </row>
    <row r="15" spans="1:9">
      <c r="A15">
        <v>1014</v>
      </c>
      <c r="B15" s="1">
        <v>45671</v>
      </c>
      <c r="C15" t="s">
        <v>21</v>
      </c>
      <c r="D15" t="s">
        <v>10</v>
      </c>
      <c r="E15">
        <v>1</v>
      </c>
      <c r="F15">
        <v>18000</v>
      </c>
      <c r="G15" t="s">
        <v>13</v>
      </c>
      <c r="H15">
        <v>18000</v>
      </c>
      <c r="I15" t="str">
        <f t="shared" si="0"/>
        <v>Jan</v>
      </c>
    </row>
    <row r="16" spans="1:9">
      <c r="A16">
        <v>1015</v>
      </c>
      <c r="B16" s="1">
        <v>45672</v>
      </c>
      <c r="C16" t="s">
        <v>20</v>
      </c>
      <c r="D16" t="s">
        <v>15</v>
      </c>
      <c r="E16">
        <v>1</v>
      </c>
      <c r="F16">
        <v>6000</v>
      </c>
      <c r="G16" t="s">
        <v>16</v>
      </c>
      <c r="H16">
        <v>6000</v>
      </c>
      <c r="I16" t="str">
        <f t="shared" si="0"/>
        <v>Jan</v>
      </c>
    </row>
    <row r="17" spans="1:9">
      <c r="A17">
        <v>1016</v>
      </c>
      <c r="B17" s="1">
        <v>45673</v>
      </c>
      <c r="C17" t="s">
        <v>12</v>
      </c>
      <c r="D17" t="s">
        <v>10</v>
      </c>
      <c r="E17">
        <v>6</v>
      </c>
      <c r="F17">
        <v>800</v>
      </c>
      <c r="G17" t="s">
        <v>18</v>
      </c>
      <c r="H17">
        <v>4800</v>
      </c>
      <c r="I17" t="str">
        <f t="shared" si="0"/>
        <v>Jan</v>
      </c>
    </row>
    <row r="18" spans="1:9">
      <c r="A18">
        <v>1017</v>
      </c>
      <c r="B18" s="1">
        <v>45674</v>
      </c>
      <c r="C18" t="s">
        <v>19</v>
      </c>
      <c r="D18" t="s">
        <v>10</v>
      </c>
      <c r="E18">
        <v>4</v>
      </c>
      <c r="F18">
        <v>1500</v>
      </c>
      <c r="G18" t="s">
        <v>11</v>
      </c>
      <c r="H18">
        <v>6000</v>
      </c>
      <c r="I18" t="str">
        <f t="shared" si="0"/>
        <v>Jan</v>
      </c>
    </row>
    <row r="19" spans="1:9">
      <c r="A19">
        <v>1018</v>
      </c>
      <c r="B19" s="1">
        <v>45675</v>
      </c>
      <c r="C19" t="s">
        <v>9</v>
      </c>
      <c r="D19" t="s">
        <v>10</v>
      </c>
      <c r="E19">
        <v>2</v>
      </c>
      <c r="F19">
        <v>55000</v>
      </c>
      <c r="G19" t="s">
        <v>16</v>
      </c>
      <c r="H19">
        <v>110000</v>
      </c>
      <c r="I19" t="str">
        <f t="shared" si="0"/>
        <v>Jan</v>
      </c>
    </row>
    <row r="20" spans="1:9">
      <c r="A20">
        <v>1019</v>
      </c>
      <c r="B20" s="1">
        <v>45676</v>
      </c>
      <c r="C20" t="s">
        <v>17</v>
      </c>
      <c r="D20" t="s">
        <v>15</v>
      </c>
      <c r="E20">
        <v>1</v>
      </c>
      <c r="F20">
        <v>12000</v>
      </c>
      <c r="G20" t="s">
        <v>13</v>
      </c>
      <c r="H20">
        <v>12000</v>
      </c>
      <c r="I20" t="str">
        <f t="shared" si="0"/>
        <v>Jan</v>
      </c>
    </row>
    <row r="21" spans="1:9">
      <c r="A21">
        <v>1020</v>
      </c>
      <c r="B21" s="1">
        <v>45677</v>
      </c>
      <c r="C21" t="s">
        <v>21</v>
      </c>
      <c r="D21" t="s">
        <v>10</v>
      </c>
      <c r="E21">
        <v>3</v>
      </c>
      <c r="F21">
        <v>18000</v>
      </c>
      <c r="G21" t="s">
        <v>11</v>
      </c>
      <c r="H21">
        <v>54000</v>
      </c>
      <c r="I21" t="str">
        <f t="shared" si="0"/>
        <v>Jan</v>
      </c>
    </row>
    <row r="22" spans="1:9">
      <c r="A22">
        <v>1021</v>
      </c>
      <c r="B22" s="1">
        <v>45678</v>
      </c>
      <c r="C22" t="s">
        <v>12</v>
      </c>
      <c r="D22" t="s">
        <v>10</v>
      </c>
      <c r="E22">
        <v>5</v>
      </c>
      <c r="F22">
        <v>800</v>
      </c>
      <c r="G22" t="s">
        <v>16</v>
      </c>
      <c r="H22">
        <v>4000</v>
      </c>
      <c r="I22" t="str">
        <f t="shared" si="0"/>
        <v>Jan</v>
      </c>
    </row>
    <row r="23" spans="1:9">
      <c r="A23">
        <v>1022</v>
      </c>
      <c r="B23" s="1">
        <v>45679</v>
      </c>
      <c r="C23" t="s">
        <v>14</v>
      </c>
      <c r="D23" t="s">
        <v>15</v>
      </c>
      <c r="E23">
        <v>1</v>
      </c>
      <c r="F23">
        <v>7500</v>
      </c>
      <c r="G23" t="s">
        <v>18</v>
      </c>
      <c r="H23">
        <v>7500</v>
      </c>
      <c r="I23" t="str">
        <f t="shared" si="0"/>
        <v>Jan</v>
      </c>
    </row>
    <row r="24" spans="1:9">
      <c r="A24">
        <v>1023</v>
      </c>
      <c r="B24" s="1">
        <v>45680</v>
      </c>
      <c r="C24" t="s">
        <v>9</v>
      </c>
      <c r="D24" t="s">
        <v>10</v>
      </c>
      <c r="E24">
        <v>1</v>
      </c>
      <c r="F24">
        <v>55000</v>
      </c>
      <c r="G24" t="s">
        <v>11</v>
      </c>
      <c r="H24">
        <v>55000</v>
      </c>
      <c r="I24" t="str">
        <f t="shared" si="0"/>
        <v>Jan</v>
      </c>
    </row>
    <row r="25" spans="1:9">
      <c r="A25">
        <v>1024</v>
      </c>
      <c r="B25" s="1">
        <v>45681</v>
      </c>
      <c r="C25" t="s">
        <v>20</v>
      </c>
      <c r="D25" t="s">
        <v>15</v>
      </c>
      <c r="E25">
        <v>2</v>
      </c>
      <c r="F25">
        <v>6000</v>
      </c>
      <c r="G25" t="s">
        <v>13</v>
      </c>
      <c r="H25">
        <v>12000</v>
      </c>
      <c r="I25" t="str">
        <f t="shared" si="0"/>
        <v>Jan</v>
      </c>
    </row>
    <row r="26" spans="1:9">
      <c r="A26">
        <v>1025</v>
      </c>
      <c r="B26" s="1">
        <v>45682</v>
      </c>
      <c r="C26" t="s">
        <v>19</v>
      </c>
      <c r="D26" t="s">
        <v>10</v>
      </c>
      <c r="E26">
        <v>3</v>
      </c>
      <c r="F26">
        <v>1500</v>
      </c>
      <c r="G26" t="s">
        <v>16</v>
      </c>
      <c r="H26">
        <v>4500</v>
      </c>
      <c r="I26" t="str">
        <f t="shared" si="0"/>
        <v>Jan</v>
      </c>
    </row>
    <row r="27" spans="1:9">
      <c r="A27">
        <v>1026</v>
      </c>
      <c r="B27" s="1">
        <v>45683</v>
      </c>
      <c r="C27" t="s">
        <v>21</v>
      </c>
      <c r="D27" t="s">
        <v>10</v>
      </c>
      <c r="E27">
        <v>2</v>
      </c>
      <c r="F27">
        <v>18000</v>
      </c>
      <c r="G27" t="s">
        <v>18</v>
      </c>
      <c r="H27">
        <v>36000</v>
      </c>
      <c r="I27" t="str">
        <f t="shared" si="0"/>
        <v>Jan</v>
      </c>
    </row>
    <row r="28" spans="1:9">
      <c r="A28">
        <v>1027</v>
      </c>
      <c r="B28" s="1">
        <v>45684</v>
      </c>
      <c r="C28" t="s">
        <v>17</v>
      </c>
      <c r="D28" t="s">
        <v>15</v>
      </c>
      <c r="E28">
        <v>1</v>
      </c>
      <c r="F28">
        <v>12000</v>
      </c>
      <c r="G28" t="s">
        <v>11</v>
      </c>
      <c r="H28">
        <v>12000</v>
      </c>
      <c r="I28" t="str">
        <f t="shared" si="0"/>
        <v>Jan</v>
      </c>
    </row>
    <row r="29" spans="1:9">
      <c r="A29">
        <v>1028</v>
      </c>
      <c r="B29" s="1">
        <v>45685</v>
      </c>
      <c r="C29" t="s">
        <v>12</v>
      </c>
      <c r="D29" t="s">
        <v>10</v>
      </c>
      <c r="E29">
        <v>4</v>
      </c>
      <c r="F29">
        <v>800</v>
      </c>
      <c r="G29" t="s">
        <v>13</v>
      </c>
      <c r="H29">
        <v>3200</v>
      </c>
      <c r="I29" t="str">
        <f t="shared" si="0"/>
        <v>Jan</v>
      </c>
    </row>
    <row r="30" spans="1:9">
      <c r="A30">
        <v>1029</v>
      </c>
      <c r="B30" s="1">
        <v>45686</v>
      </c>
      <c r="C30" t="s">
        <v>9</v>
      </c>
      <c r="D30" t="s">
        <v>10</v>
      </c>
      <c r="E30">
        <v>2</v>
      </c>
      <c r="F30">
        <v>55000</v>
      </c>
      <c r="G30" t="s">
        <v>16</v>
      </c>
      <c r="H30">
        <v>110000</v>
      </c>
      <c r="I30" t="str">
        <f t="shared" si="0"/>
        <v>Jan</v>
      </c>
    </row>
    <row r="31" spans="1:9">
      <c r="A31">
        <v>1030</v>
      </c>
      <c r="B31" s="1">
        <v>45687</v>
      </c>
      <c r="C31" t="s">
        <v>14</v>
      </c>
      <c r="D31" t="s">
        <v>15</v>
      </c>
      <c r="E31">
        <v>2</v>
      </c>
      <c r="F31">
        <v>7500</v>
      </c>
      <c r="G31" t="s">
        <v>18</v>
      </c>
      <c r="H31">
        <v>15000</v>
      </c>
      <c r="I31" t="str">
        <f t="shared" si="0"/>
        <v>Jan</v>
      </c>
    </row>
    <row r="32" spans="1:9">
      <c r="A32">
        <v>1031</v>
      </c>
      <c r="B32" s="1">
        <v>45689</v>
      </c>
      <c r="C32" t="s">
        <v>12</v>
      </c>
      <c r="D32" t="s">
        <v>10</v>
      </c>
      <c r="E32">
        <v>5</v>
      </c>
      <c r="F32">
        <v>800</v>
      </c>
      <c r="G32" t="s">
        <v>11</v>
      </c>
      <c r="H32">
        <v>4000</v>
      </c>
      <c r="I32" t="str">
        <f t="shared" si="0"/>
        <v>Feb</v>
      </c>
    </row>
    <row r="33" spans="1:9">
      <c r="A33">
        <v>1032</v>
      </c>
      <c r="B33" s="1">
        <v>45690</v>
      </c>
      <c r="C33" t="s">
        <v>9</v>
      </c>
      <c r="D33" t="s">
        <v>10</v>
      </c>
      <c r="E33">
        <v>1</v>
      </c>
      <c r="F33">
        <v>55000</v>
      </c>
      <c r="G33" t="s">
        <v>13</v>
      </c>
      <c r="H33">
        <v>55000</v>
      </c>
      <c r="I33" t="str">
        <f t="shared" si="0"/>
        <v>Feb</v>
      </c>
    </row>
    <row r="34" spans="1:9">
      <c r="A34">
        <v>1033</v>
      </c>
      <c r="B34" s="1">
        <v>45691</v>
      </c>
      <c r="C34" t="s">
        <v>17</v>
      </c>
      <c r="D34" t="s">
        <v>15</v>
      </c>
      <c r="E34">
        <v>2</v>
      </c>
      <c r="F34">
        <v>12000</v>
      </c>
      <c r="G34" t="s">
        <v>16</v>
      </c>
      <c r="H34">
        <v>24000</v>
      </c>
      <c r="I34" t="str">
        <f t="shared" si="0"/>
        <v>Feb</v>
      </c>
    </row>
    <row r="35" spans="1:9">
      <c r="A35">
        <v>1034</v>
      </c>
      <c r="B35" s="1">
        <v>45692</v>
      </c>
      <c r="C35" t="s">
        <v>19</v>
      </c>
      <c r="D35" t="s">
        <v>10</v>
      </c>
      <c r="E35">
        <v>4</v>
      </c>
      <c r="F35">
        <v>1500</v>
      </c>
      <c r="G35" t="s">
        <v>18</v>
      </c>
      <c r="H35">
        <v>6000</v>
      </c>
      <c r="I35" t="str">
        <f t="shared" si="0"/>
        <v>Feb</v>
      </c>
    </row>
    <row r="36" spans="1:9">
      <c r="A36">
        <v>1035</v>
      </c>
      <c r="B36" s="1">
        <v>45693</v>
      </c>
      <c r="C36" t="s">
        <v>21</v>
      </c>
      <c r="D36" t="s">
        <v>10</v>
      </c>
      <c r="E36">
        <v>2</v>
      </c>
      <c r="F36">
        <v>18000</v>
      </c>
      <c r="G36" t="s">
        <v>11</v>
      </c>
      <c r="H36">
        <v>36000</v>
      </c>
      <c r="I36" t="str">
        <f t="shared" si="0"/>
        <v>Feb</v>
      </c>
    </row>
    <row r="37" spans="1:9">
      <c r="A37">
        <v>1036</v>
      </c>
      <c r="B37" s="1">
        <v>45694</v>
      </c>
      <c r="C37" t="s">
        <v>14</v>
      </c>
      <c r="D37" t="s">
        <v>15</v>
      </c>
      <c r="E37">
        <v>1</v>
      </c>
      <c r="F37">
        <v>7500</v>
      </c>
      <c r="G37" t="s">
        <v>13</v>
      </c>
      <c r="H37">
        <v>7500</v>
      </c>
      <c r="I37" t="str">
        <f t="shared" si="0"/>
        <v>Feb</v>
      </c>
    </row>
    <row r="38" spans="1:9">
      <c r="A38">
        <v>1037</v>
      </c>
      <c r="B38" s="1">
        <v>45695</v>
      </c>
      <c r="C38" t="s">
        <v>20</v>
      </c>
      <c r="D38" t="s">
        <v>15</v>
      </c>
      <c r="E38">
        <v>2</v>
      </c>
      <c r="F38">
        <v>6000</v>
      </c>
      <c r="G38" t="s">
        <v>16</v>
      </c>
      <c r="H38">
        <v>12000</v>
      </c>
      <c r="I38" t="str">
        <f t="shared" si="0"/>
        <v>Feb</v>
      </c>
    </row>
    <row r="39" spans="1:9">
      <c r="A39">
        <v>1038</v>
      </c>
      <c r="B39" s="1">
        <v>45696</v>
      </c>
      <c r="C39" t="s">
        <v>9</v>
      </c>
      <c r="D39" t="s">
        <v>10</v>
      </c>
      <c r="E39">
        <v>2</v>
      </c>
      <c r="F39">
        <v>55000</v>
      </c>
      <c r="G39" t="s">
        <v>18</v>
      </c>
      <c r="H39">
        <v>110000</v>
      </c>
      <c r="I39" t="str">
        <f t="shared" si="0"/>
        <v>Feb</v>
      </c>
    </row>
    <row r="40" spans="1:9">
      <c r="A40">
        <v>1039</v>
      </c>
      <c r="B40" s="1">
        <v>45697</v>
      </c>
      <c r="C40" t="s">
        <v>12</v>
      </c>
      <c r="D40" t="s">
        <v>10</v>
      </c>
      <c r="E40">
        <v>6</v>
      </c>
      <c r="F40">
        <v>800</v>
      </c>
      <c r="G40" t="s">
        <v>11</v>
      </c>
      <c r="H40">
        <v>4800</v>
      </c>
      <c r="I40" t="str">
        <f t="shared" si="0"/>
        <v>Feb</v>
      </c>
    </row>
    <row r="41" spans="1:9">
      <c r="A41">
        <v>1040</v>
      </c>
      <c r="B41" s="1">
        <v>45698</v>
      </c>
      <c r="C41" t="s">
        <v>17</v>
      </c>
      <c r="D41" t="s">
        <v>15</v>
      </c>
      <c r="E41">
        <v>1</v>
      </c>
      <c r="F41">
        <v>12000</v>
      </c>
      <c r="G41" t="s">
        <v>13</v>
      </c>
      <c r="H41">
        <v>12000</v>
      </c>
      <c r="I41" t="str">
        <f t="shared" si="0"/>
        <v>Feb</v>
      </c>
    </row>
    <row r="42" spans="1:9">
      <c r="A42">
        <v>1041</v>
      </c>
      <c r="B42" s="1">
        <v>45699</v>
      </c>
      <c r="C42" t="s">
        <v>19</v>
      </c>
      <c r="D42" t="s">
        <v>10</v>
      </c>
      <c r="E42">
        <v>3</v>
      </c>
      <c r="F42">
        <v>1500</v>
      </c>
      <c r="G42" t="s">
        <v>16</v>
      </c>
      <c r="H42">
        <v>4500</v>
      </c>
      <c r="I42" t="str">
        <f t="shared" si="0"/>
        <v>Feb</v>
      </c>
    </row>
    <row r="43" spans="1:9">
      <c r="A43">
        <v>1042</v>
      </c>
      <c r="B43" s="1">
        <v>45700</v>
      </c>
      <c r="C43" t="s">
        <v>21</v>
      </c>
      <c r="D43" t="s">
        <v>10</v>
      </c>
      <c r="E43">
        <v>1</v>
      </c>
      <c r="F43">
        <v>18000</v>
      </c>
      <c r="G43" t="s">
        <v>18</v>
      </c>
      <c r="H43">
        <v>18000</v>
      </c>
      <c r="I43" t="str">
        <f t="shared" si="0"/>
        <v>Feb</v>
      </c>
    </row>
    <row r="44" spans="1:9">
      <c r="A44">
        <v>1043</v>
      </c>
      <c r="B44" s="1">
        <v>45701</v>
      </c>
      <c r="C44" t="s">
        <v>9</v>
      </c>
      <c r="D44" t="s">
        <v>10</v>
      </c>
      <c r="E44">
        <v>1</v>
      </c>
      <c r="F44">
        <v>55000</v>
      </c>
      <c r="G44" t="s">
        <v>11</v>
      </c>
      <c r="H44">
        <v>55000</v>
      </c>
      <c r="I44" t="str">
        <f t="shared" si="0"/>
        <v>Feb</v>
      </c>
    </row>
    <row r="45" spans="1:9">
      <c r="A45">
        <v>1044</v>
      </c>
      <c r="B45" s="1">
        <v>45702</v>
      </c>
      <c r="C45" t="s">
        <v>14</v>
      </c>
      <c r="D45" t="s">
        <v>15</v>
      </c>
      <c r="E45">
        <v>2</v>
      </c>
      <c r="F45">
        <v>7500</v>
      </c>
      <c r="G45" t="s">
        <v>13</v>
      </c>
      <c r="H45">
        <v>15000</v>
      </c>
      <c r="I45" t="str">
        <f t="shared" si="0"/>
        <v>Feb</v>
      </c>
    </row>
    <row r="46" spans="1:9">
      <c r="A46">
        <v>1045</v>
      </c>
      <c r="B46" s="1">
        <v>45703</v>
      </c>
      <c r="C46" t="s">
        <v>20</v>
      </c>
      <c r="D46" t="s">
        <v>15</v>
      </c>
      <c r="E46">
        <v>1</v>
      </c>
      <c r="F46">
        <v>6000</v>
      </c>
      <c r="G46" t="s">
        <v>16</v>
      </c>
      <c r="H46">
        <v>6000</v>
      </c>
      <c r="I46" t="str">
        <f t="shared" si="0"/>
        <v>Feb</v>
      </c>
    </row>
    <row r="47" spans="1:9">
      <c r="A47">
        <v>1046</v>
      </c>
      <c r="B47" s="1">
        <v>45704</v>
      </c>
      <c r="C47" t="s">
        <v>12</v>
      </c>
      <c r="D47" t="s">
        <v>10</v>
      </c>
      <c r="E47">
        <v>4</v>
      </c>
      <c r="F47">
        <v>800</v>
      </c>
      <c r="G47" t="s">
        <v>18</v>
      </c>
      <c r="H47">
        <v>3200</v>
      </c>
      <c r="I47" t="str">
        <f t="shared" si="0"/>
        <v>Feb</v>
      </c>
    </row>
    <row r="48" spans="1:9">
      <c r="A48">
        <v>1047</v>
      </c>
      <c r="B48" s="1">
        <v>45705</v>
      </c>
      <c r="C48" t="s">
        <v>19</v>
      </c>
      <c r="D48" t="s">
        <v>10</v>
      </c>
      <c r="E48">
        <v>5</v>
      </c>
      <c r="F48">
        <v>1500</v>
      </c>
      <c r="G48" t="s">
        <v>11</v>
      </c>
      <c r="H48">
        <v>7500</v>
      </c>
      <c r="I48" t="str">
        <f t="shared" si="0"/>
        <v>Feb</v>
      </c>
    </row>
    <row r="49" spans="1:9">
      <c r="A49">
        <v>1048</v>
      </c>
      <c r="B49" s="1">
        <v>45706</v>
      </c>
      <c r="C49" t="s">
        <v>21</v>
      </c>
      <c r="D49" t="s">
        <v>10</v>
      </c>
      <c r="E49">
        <v>2</v>
      </c>
      <c r="F49">
        <v>18000</v>
      </c>
      <c r="G49" t="s">
        <v>13</v>
      </c>
      <c r="H49">
        <v>36000</v>
      </c>
      <c r="I49" t="str">
        <f t="shared" si="0"/>
        <v>Feb</v>
      </c>
    </row>
    <row r="50" spans="1:9">
      <c r="A50">
        <v>1049</v>
      </c>
      <c r="B50" s="1">
        <v>45707</v>
      </c>
      <c r="C50" t="s">
        <v>9</v>
      </c>
      <c r="D50" t="s">
        <v>10</v>
      </c>
      <c r="E50">
        <v>2</v>
      </c>
      <c r="F50">
        <v>55000</v>
      </c>
      <c r="G50" t="s">
        <v>16</v>
      </c>
      <c r="H50">
        <v>110000</v>
      </c>
      <c r="I50" t="str">
        <f t="shared" si="0"/>
        <v>Feb</v>
      </c>
    </row>
    <row r="51" spans="1:9">
      <c r="A51">
        <v>1050</v>
      </c>
      <c r="B51" s="1">
        <v>45708</v>
      </c>
      <c r="C51" t="s">
        <v>17</v>
      </c>
      <c r="D51" t="s">
        <v>15</v>
      </c>
      <c r="E51">
        <v>1</v>
      </c>
      <c r="F51">
        <v>12000</v>
      </c>
      <c r="G51" t="s">
        <v>18</v>
      </c>
      <c r="H51">
        <v>12000</v>
      </c>
      <c r="I51" t="str">
        <f t="shared" si="0"/>
        <v>Feb</v>
      </c>
    </row>
    <row r="52" spans="1:9">
      <c r="A52">
        <v>1051</v>
      </c>
      <c r="B52" s="1">
        <v>45709</v>
      </c>
      <c r="C52" t="s">
        <v>14</v>
      </c>
      <c r="D52" t="s">
        <v>15</v>
      </c>
      <c r="E52">
        <v>1</v>
      </c>
      <c r="F52">
        <v>7500</v>
      </c>
      <c r="G52" t="s">
        <v>11</v>
      </c>
      <c r="H52">
        <v>7500</v>
      </c>
      <c r="I52" t="str">
        <f t="shared" si="0"/>
        <v>Feb</v>
      </c>
    </row>
    <row r="53" spans="1:9">
      <c r="A53">
        <v>1052</v>
      </c>
      <c r="B53" s="1">
        <v>45710</v>
      </c>
      <c r="C53" t="s">
        <v>12</v>
      </c>
      <c r="D53" t="s">
        <v>10</v>
      </c>
      <c r="E53">
        <v>5</v>
      </c>
      <c r="F53">
        <v>800</v>
      </c>
      <c r="G53" t="s">
        <v>13</v>
      </c>
      <c r="H53">
        <v>4000</v>
      </c>
      <c r="I53" t="str">
        <f t="shared" si="0"/>
        <v>Feb</v>
      </c>
    </row>
    <row r="54" spans="1:9">
      <c r="A54">
        <v>1053</v>
      </c>
      <c r="B54" s="1">
        <v>45711</v>
      </c>
      <c r="C54" t="s">
        <v>19</v>
      </c>
      <c r="D54" t="s">
        <v>10</v>
      </c>
      <c r="E54">
        <v>2</v>
      </c>
      <c r="F54">
        <v>1500</v>
      </c>
      <c r="G54" t="s">
        <v>16</v>
      </c>
      <c r="H54">
        <v>3000</v>
      </c>
      <c r="I54" t="str">
        <f t="shared" si="0"/>
        <v>Feb</v>
      </c>
    </row>
    <row r="55" spans="1:9">
      <c r="A55">
        <v>1054</v>
      </c>
      <c r="B55" s="1">
        <v>45712</v>
      </c>
      <c r="C55" t="s">
        <v>21</v>
      </c>
      <c r="D55" t="s">
        <v>10</v>
      </c>
      <c r="E55">
        <v>3</v>
      </c>
      <c r="F55">
        <v>18000</v>
      </c>
      <c r="G55" t="s">
        <v>18</v>
      </c>
      <c r="H55">
        <v>54000</v>
      </c>
      <c r="I55" t="str">
        <f t="shared" si="0"/>
        <v>Feb</v>
      </c>
    </row>
    <row r="56" spans="1:9">
      <c r="A56">
        <v>1055</v>
      </c>
      <c r="B56" s="1">
        <v>45713</v>
      </c>
      <c r="C56" t="s">
        <v>9</v>
      </c>
      <c r="D56" t="s">
        <v>10</v>
      </c>
      <c r="E56">
        <v>1</v>
      </c>
      <c r="F56">
        <v>55000</v>
      </c>
      <c r="G56" t="s">
        <v>11</v>
      </c>
      <c r="H56">
        <v>55000</v>
      </c>
      <c r="I56" t="str">
        <f t="shared" si="0"/>
        <v>Feb</v>
      </c>
    </row>
    <row r="57" spans="1:9">
      <c r="A57">
        <v>1056</v>
      </c>
      <c r="B57" s="1">
        <v>45717</v>
      </c>
      <c r="C57" t="s">
        <v>9</v>
      </c>
      <c r="D57" t="s">
        <v>10</v>
      </c>
      <c r="E57">
        <v>1</v>
      </c>
      <c r="F57">
        <v>55000</v>
      </c>
      <c r="G57" t="s">
        <v>13</v>
      </c>
      <c r="H57">
        <v>55000</v>
      </c>
      <c r="I57" t="str">
        <f t="shared" si="0"/>
        <v>Mar</v>
      </c>
    </row>
    <row r="58" spans="1:9">
      <c r="A58">
        <v>1057</v>
      </c>
      <c r="B58" s="1">
        <v>45718</v>
      </c>
      <c r="C58" t="s">
        <v>12</v>
      </c>
      <c r="D58" t="s">
        <v>10</v>
      </c>
      <c r="E58">
        <v>7</v>
      </c>
      <c r="F58">
        <v>800</v>
      </c>
      <c r="G58" t="s">
        <v>11</v>
      </c>
      <c r="H58">
        <v>5600</v>
      </c>
      <c r="I58" t="str">
        <f t="shared" si="0"/>
        <v>Mar</v>
      </c>
    </row>
    <row r="59" spans="1:9">
      <c r="A59">
        <v>1058</v>
      </c>
      <c r="B59" s="1">
        <v>45719</v>
      </c>
      <c r="C59" t="s">
        <v>21</v>
      </c>
      <c r="D59" t="s">
        <v>10</v>
      </c>
      <c r="E59">
        <v>2</v>
      </c>
      <c r="F59">
        <v>18000</v>
      </c>
      <c r="G59" t="s">
        <v>16</v>
      </c>
      <c r="H59">
        <v>36000</v>
      </c>
      <c r="I59" t="str">
        <f t="shared" si="0"/>
        <v>Mar</v>
      </c>
    </row>
    <row r="60" spans="1:9">
      <c r="A60">
        <v>1059</v>
      </c>
      <c r="B60" s="1">
        <v>45720</v>
      </c>
      <c r="C60" t="s">
        <v>17</v>
      </c>
      <c r="D60" t="s">
        <v>15</v>
      </c>
      <c r="E60">
        <v>1</v>
      </c>
      <c r="F60">
        <v>12000</v>
      </c>
      <c r="G60" t="s">
        <v>18</v>
      </c>
      <c r="H60">
        <v>12000</v>
      </c>
      <c r="I60" t="str">
        <f t="shared" si="0"/>
        <v>Mar</v>
      </c>
    </row>
    <row r="61" spans="1:9">
      <c r="A61">
        <v>1060</v>
      </c>
      <c r="B61" s="1">
        <v>45721</v>
      </c>
      <c r="C61" t="s">
        <v>19</v>
      </c>
      <c r="D61" t="s">
        <v>10</v>
      </c>
      <c r="E61">
        <v>4</v>
      </c>
      <c r="F61">
        <v>1500</v>
      </c>
      <c r="G61" t="s">
        <v>13</v>
      </c>
      <c r="H61">
        <v>6000</v>
      </c>
      <c r="I61" t="str">
        <f t="shared" si="0"/>
        <v>Mar</v>
      </c>
    </row>
    <row r="62" spans="1:9">
      <c r="A62">
        <v>1061</v>
      </c>
      <c r="B62" s="1">
        <v>45722</v>
      </c>
      <c r="C62" t="s">
        <v>14</v>
      </c>
      <c r="D62" t="s">
        <v>15</v>
      </c>
      <c r="E62">
        <v>2</v>
      </c>
      <c r="F62">
        <v>7500</v>
      </c>
      <c r="G62" t="s">
        <v>11</v>
      </c>
      <c r="H62">
        <v>15000</v>
      </c>
      <c r="I62" t="str">
        <f t="shared" si="0"/>
        <v>Mar</v>
      </c>
    </row>
    <row r="63" spans="1:9">
      <c r="A63">
        <v>1062</v>
      </c>
      <c r="B63" s="1">
        <v>45723</v>
      </c>
      <c r="C63" t="s">
        <v>20</v>
      </c>
      <c r="D63" t="s">
        <v>15</v>
      </c>
      <c r="E63">
        <v>1</v>
      </c>
      <c r="F63">
        <v>6000</v>
      </c>
      <c r="G63" t="s">
        <v>16</v>
      </c>
      <c r="H63">
        <v>6000</v>
      </c>
      <c r="I63" t="str">
        <f t="shared" si="0"/>
        <v>Mar</v>
      </c>
    </row>
    <row r="64" spans="1:9">
      <c r="A64">
        <v>1063</v>
      </c>
      <c r="B64" s="1">
        <v>45724</v>
      </c>
      <c r="C64" t="s">
        <v>9</v>
      </c>
      <c r="D64" t="s">
        <v>10</v>
      </c>
      <c r="E64">
        <v>2</v>
      </c>
      <c r="F64">
        <v>55000</v>
      </c>
      <c r="G64" t="s">
        <v>18</v>
      </c>
      <c r="H64">
        <v>110000</v>
      </c>
      <c r="I64" t="str">
        <f t="shared" si="0"/>
        <v>Mar</v>
      </c>
    </row>
    <row r="65" spans="1:9">
      <c r="A65">
        <v>1064</v>
      </c>
      <c r="B65" s="1">
        <v>45725</v>
      </c>
      <c r="C65" t="s">
        <v>12</v>
      </c>
      <c r="D65" t="s">
        <v>10</v>
      </c>
      <c r="E65">
        <v>5</v>
      </c>
      <c r="F65">
        <v>800</v>
      </c>
      <c r="G65" t="s">
        <v>13</v>
      </c>
      <c r="H65">
        <v>4000</v>
      </c>
      <c r="I65" t="str">
        <f t="shared" si="0"/>
        <v>Mar</v>
      </c>
    </row>
    <row r="66" spans="1:9">
      <c r="A66">
        <v>1065</v>
      </c>
      <c r="B66" s="1">
        <v>45726</v>
      </c>
      <c r="C66" t="s">
        <v>21</v>
      </c>
      <c r="D66" t="s">
        <v>10</v>
      </c>
      <c r="E66">
        <v>1</v>
      </c>
      <c r="F66">
        <v>18000</v>
      </c>
      <c r="G66" t="s">
        <v>11</v>
      </c>
      <c r="H66">
        <v>18000</v>
      </c>
      <c r="I66" t="str">
        <f t="shared" si="0"/>
        <v>Mar</v>
      </c>
    </row>
    <row r="67" spans="1:9">
      <c r="A67">
        <v>1066</v>
      </c>
      <c r="B67" s="1">
        <v>45727</v>
      </c>
      <c r="C67" t="s">
        <v>17</v>
      </c>
      <c r="D67" t="s">
        <v>15</v>
      </c>
      <c r="E67">
        <v>2</v>
      </c>
      <c r="F67">
        <v>12000</v>
      </c>
      <c r="G67" t="s">
        <v>16</v>
      </c>
      <c r="H67">
        <v>24000</v>
      </c>
      <c r="I67" t="str">
        <f t="shared" ref="I67:I96" si="1">TEXT(B67,"mmm")</f>
        <v>Mar</v>
      </c>
    </row>
    <row r="68" spans="1:9">
      <c r="A68">
        <v>1067</v>
      </c>
      <c r="B68" s="1">
        <v>45728</v>
      </c>
      <c r="C68" t="s">
        <v>19</v>
      </c>
      <c r="D68" t="s">
        <v>10</v>
      </c>
      <c r="E68">
        <v>3</v>
      </c>
      <c r="F68">
        <v>1500</v>
      </c>
      <c r="G68" t="s">
        <v>18</v>
      </c>
      <c r="H68">
        <v>4500</v>
      </c>
      <c r="I68" t="str">
        <f t="shared" si="1"/>
        <v>Mar</v>
      </c>
    </row>
    <row r="69" spans="1:9">
      <c r="A69">
        <v>1068</v>
      </c>
      <c r="B69" s="1">
        <v>45729</v>
      </c>
      <c r="C69" t="s">
        <v>9</v>
      </c>
      <c r="D69" t="s">
        <v>10</v>
      </c>
      <c r="E69">
        <v>1</v>
      </c>
      <c r="F69">
        <v>55000</v>
      </c>
      <c r="G69" t="s">
        <v>11</v>
      </c>
      <c r="H69">
        <v>55000</v>
      </c>
      <c r="I69" t="str">
        <f t="shared" si="1"/>
        <v>Mar</v>
      </c>
    </row>
    <row r="70" spans="1:9">
      <c r="A70">
        <v>1069</v>
      </c>
      <c r="B70" s="1">
        <v>45730</v>
      </c>
      <c r="C70" t="s">
        <v>14</v>
      </c>
      <c r="D70" t="s">
        <v>15</v>
      </c>
      <c r="E70">
        <v>1</v>
      </c>
      <c r="F70">
        <v>7500</v>
      </c>
      <c r="G70" t="s">
        <v>13</v>
      </c>
      <c r="H70">
        <v>7500</v>
      </c>
      <c r="I70" t="str">
        <f t="shared" si="1"/>
        <v>Mar</v>
      </c>
    </row>
    <row r="71" spans="1:9">
      <c r="A71">
        <v>1070</v>
      </c>
      <c r="B71" s="1">
        <v>45731</v>
      </c>
      <c r="C71" t="s">
        <v>20</v>
      </c>
      <c r="D71" t="s">
        <v>15</v>
      </c>
      <c r="E71">
        <v>2</v>
      </c>
      <c r="F71">
        <v>6000</v>
      </c>
      <c r="G71" t="s">
        <v>18</v>
      </c>
      <c r="H71">
        <v>12000</v>
      </c>
      <c r="I71" t="str">
        <f t="shared" si="1"/>
        <v>Mar</v>
      </c>
    </row>
    <row r="72" spans="1:9">
      <c r="A72">
        <v>1071</v>
      </c>
      <c r="B72" s="1">
        <v>45732</v>
      </c>
      <c r="C72" t="s">
        <v>12</v>
      </c>
      <c r="D72" t="s">
        <v>10</v>
      </c>
      <c r="E72">
        <v>6</v>
      </c>
      <c r="F72">
        <v>800</v>
      </c>
      <c r="G72" t="s">
        <v>16</v>
      </c>
      <c r="H72">
        <v>4800</v>
      </c>
      <c r="I72" t="str">
        <f t="shared" si="1"/>
        <v>Mar</v>
      </c>
    </row>
    <row r="73" spans="1:9">
      <c r="A73">
        <v>1072</v>
      </c>
      <c r="B73" s="1">
        <v>45733</v>
      </c>
      <c r="C73" t="s">
        <v>21</v>
      </c>
      <c r="D73" t="s">
        <v>10</v>
      </c>
      <c r="E73">
        <v>3</v>
      </c>
      <c r="F73">
        <v>18000</v>
      </c>
      <c r="G73" t="s">
        <v>13</v>
      </c>
      <c r="H73">
        <v>54000</v>
      </c>
      <c r="I73" t="str">
        <f t="shared" si="1"/>
        <v>Mar</v>
      </c>
    </row>
    <row r="74" spans="1:9">
      <c r="A74">
        <v>1073</v>
      </c>
      <c r="B74" s="1">
        <v>45734</v>
      </c>
      <c r="C74" t="s">
        <v>19</v>
      </c>
      <c r="D74" t="s">
        <v>10</v>
      </c>
      <c r="E74">
        <v>5</v>
      </c>
      <c r="F74">
        <v>1500</v>
      </c>
      <c r="G74" t="s">
        <v>11</v>
      </c>
      <c r="H74">
        <v>7500</v>
      </c>
      <c r="I74" t="str">
        <f t="shared" si="1"/>
        <v>Mar</v>
      </c>
    </row>
    <row r="75" spans="1:9">
      <c r="A75">
        <v>1074</v>
      </c>
      <c r="B75" s="1">
        <v>45735</v>
      </c>
      <c r="C75" t="s">
        <v>9</v>
      </c>
      <c r="D75" t="s">
        <v>10</v>
      </c>
      <c r="E75">
        <v>2</v>
      </c>
      <c r="F75">
        <v>55000</v>
      </c>
      <c r="G75" t="s">
        <v>16</v>
      </c>
      <c r="H75">
        <v>110000</v>
      </c>
      <c r="I75" t="str">
        <f t="shared" si="1"/>
        <v>Mar</v>
      </c>
    </row>
    <row r="76" spans="1:9">
      <c r="A76">
        <v>1075</v>
      </c>
      <c r="B76" s="1">
        <v>45736</v>
      </c>
      <c r="C76" t="s">
        <v>17</v>
      </c>
      <c r="D76" t="s">
        <v>15</v>
      </c>
      <c r="E76">
        <v>1</v>
      </c>
      <c r="F76">
        <v>12000</v>
      </c>
      <c r="G76" t="s">
        <v>18</v>
      </c>
      <c r="H76">
        <v>12000</v>
      </c>
      <c r="I76" t="str">
        <f t="shared" si="1"/>
        <v>Mar</v>
      </c>
    </row>
    <row r="77" spans="1:9">
      <c r="A77">
        <v>1076</v>
      </c>
      <c r="B77" s="1">
        <v>45748</v>
      </c>
      <c r="C77" t="s">
        <v>9</v>
      </c>
      <c r="D77" t="s">
        <v>10</v>
      </c>
      <c r="E77">
        <v>1</v>
      </c>
      <c r="F77">
        <v>55000</v>
      </c>
      <c r="G77" t="s">
        <v>11</v>
      </c>
      <c r="H77">
        <v>55000</v>
      </c>
      <c r="I77" t="str">
        <f t="shared" si="1"/>
        <v>Apr</v>
      </c>
    </row>
    <row r="78" spans="1:9">
      <c r="A78">
        <v>1077</v>
      </c>
      <c r="B78" s="1">
        <v>45749</v>
      </c>
      <c r="C78" t="s">
        <v>21</v>
      </c>
      <c r="D78" t="s">
        <v>10</v>
      </c>
      <c r="E78">
        <v>2</v>
      </c>
      <c r="F78">
        <v>18000</v>
      </c>
      <c r="G78" t="s">
        <v>13</v>
      </c>
      <c r="H78">
        <v>36000</v>
      </c>
      <c r="I78" t="str">
        <f t="shared" si="1"/>
        <v>Apr</v>
      </c>
    </row>
    <row r="79" spans="1:9">
      <c r="A79">
        <v>1078</v>
      </c>
      <c r="B79" s="1">
        <v>45750</v>
      </c>
      <c r="C79" t="s">
        <v>12</v>
      </c>
      <c r="D79" t="s">
        <v>10</v>
      </c>
      <c r="E79">
        <v>8</v>
      </c>
      <c r="F79">
        <v>800</v>
      </c>
      <c r="G79" t="s">
        <v>16</v>
      </c>
      <c r="H79">
        <v>6400</v>
      </c>
      <c r="I79" t="str">
        <f t="shared" si="1"/>
        <v>Apr</v>
      </c>
    </row>
    <row r="80" spans="1:9">
      <c r="A80">
        <v>1079</v>
      </c>
      <c r="B80" s="1">
        <v>45751</v>
      </c>
      <c r="C80" t="s">
        <v>17</v>
      </c>
      <c r="D80" t="s">
        <v>15</v>
      </c>
      <c r="E80">
        <v>1</v>
      </c>
      <c r="F80">
        <v>12000</v>
      </c>
      <c r="G80" t="s">
        <v>18</v>
      </c>
      <c r="H80">
        <v>12000</v>
      </c>
      <c r="I80" t="str">
        <f t="shared" si="1"/>
        <v>Apr</v>
      </c>
    </row>
    <row r="81" spans="1:9">
      <c r="A81">
        <v>1080</v>
      </c>
      <c r="B81" s="1">
        <v>45752</v>
      </c>
      <c r="C81" t="s">
        <v>19</v>
      </c>
      <c r="D81" t="s">
        <v>10</v>
      </c>
      <c r="E81">
        <v>4</v>
      </c>
      <c r="F81">
        <v>1500</v>
      </c>
      <c r="G81" t="s">
        <v>11</v>
      </c>
      <c r="H81">
        <v>6000</v>
      </c>
      <c r="I81" t="str">
        <f t="shared" si="1"/>
        <v>Apr</v>
      </c>
    </row>
    <row r="82" spans="1:9">
      <c r="A82">
        <v>1081</v>
      </c>
      <c r="B82" s="1">
        <v>45753</v>
      </c>
      <c r="C82" t="s">
        <v>14</v>
      </c>
      <c r="D82" t="s">
        <v>15</v>
      </c>
      <c r="E82">
        <v>2</v>
      </c>
      <c r="F82">
        <v>7500</v>
      </c>
      <c r="G82" t="s">
        <v>13</v>
      </c>
      <c r="H82">
        <v>15000</v>
      </c>
      <c r="I82" t="str">
        <f t="shared" si="1"/>
        <v>Apr</v>
      </c>
    </row>
    <row r="83" spans="1:9">
      <c r="A83">
        <v>1082</v>
      </c>
      <c r="B83" s="1">
        <v>45754</v>
      </c>
      <c r="C83" t="s">
        <v>20</v>
      </c>
      <c r="D83" t="s">
        <v>15</v>
      </c>
      <c r="E83">
        <v>1</v>
      </c>
      <c r="F83">
        <v>6000</v>
      </c>
      <c r="G83" t="s">
        <v>16</v>
      </c>
      <c r="H83">
        <v>6000</v>
      </c>
      <c r="I83" t="str">
        <f t="shared" si="1"/>
        <v>Apr</v>
      </c>
    </row>
    <row r="84" spans="1:9">
      <c r="A84">
        <v>1083</v>
      </c>
      <c r="B84" s="1">
        <v>45755</v>
      </c>
      <c r="C84" t="s">
        <v>9</v>
      </c>
      <c r="D84" t="s">
        <v>10</v>
      </c>
      <c r="E84">
        <v>2</v>
      </c>
      <c r="F84">
        <v>55000</v>
      </c>
      <c r="G84" t="s">
        <v>18</v>
      </c>
      <c r="H84">
        <v>110000</v>
      </c>
      <c r="I84" t="str">
        <f t="shared" si="1"/>
        <v>Apr</v>
      </c>
    </row>
    <row r="85" spans="1:9">
      <c r="A85">
        <v>1084</v>
      </c>
      <c r="B85" s="1">
        <v>45756</v>
      </c>
      <c r="C85" t="s">
        <v>21</v>
      </c>
      <c r="D85" t="s">
        <v>10</v>
      </c>
      <c r="E85">
        <v>1</v>
      </c>
      <c r="F85">
        <v>18000</v>
      </c>
      <c r="G85" t="s">
        <v>11</v>
      </c>
      <c r="H85">
        <v>18000</v>
      </c>
      <c r="I85" t="str">
        <f t="shared" si="1"/>
        <v>Apr</v>
      </c>
    </row>
    <row r="86" spans="1:9">
      <c r="A86">
        <v>1085</v>
      </c>
      <c r="B86" s="1">
        <v>45757</v>
      </c>
      <c r="C86" t="s">
        <v>12</v>
      </c>
      <c r="D86" t="s">
        <v>10</v>
      </c>
      <c r="E86">
        <v>6</v>
      </c>
      <c r="F86">
        <v>800</v>
      </c>
      <c r="G86" t="s">
        <v>13</v>
      </c>
      <c r="H86">
        <v>4800</v>
      </c>
      <c r="I86" t="str">
        <f t="shared" si="1"/>
        <v>Apr</v>
      </c>
    </row>
    <row r="87" spans="1:9">
      <c r="A87">
        <v>1086</v>
      </c>
      <c r="B87" s="1">
        <v>45758</v>
      </c>
      <c r="C87" t="s">
        <v>17</v>
      </c>
      <c r="D87" t="s">
        <v>15</v>
      </c>
      <c r="E87">
        <v>2</v>
      </c>
      <c r="F87">
        <v>12000</v>
      </c>
      <c r="G87" t="s">
        <v>16</v>
      </c>
      <c r="H87">
        <v>24000</v>
      </c>
      <c r="I87" t="str">
        <f t="shared" si="1"/>
        <v>Apr</v>
      </c>
    </row>
    <row r="88" spans="1:9">
      <c r="A88">
        <v>1087</v>
      </c>
      <c r="B88" s="1">
        <v>45759</v>
      </c>
      <c r="C88" t="s">
        <v>19</v>
      </c>
      <c r="D88" t="s">
        <v>10</v>
      </c>
      <c r="E88">
        <v>5</v>
      </c>
      <c r="F88">
        <v>1500</v>
      </c>
      <c r="G88" t="s">
        <v>18</v>
      </c>
      <c r="H88">
        <v>7500</v>
      </c>
      <c r="I88" t="str">
        <f t="shared" si="1"/>
        <v>Apr</v>
      </c>
    </row>
    <row r="89" spans="1:9">
      <c r="A89">
        <v>1088</v>
      </c>
      <c r="B89" s="1">
        <v>45760</v>
      </c>
      <c r="C89" t="s">
        <v>9</v>
      </c>
      <c r="D89" t="s">
        <v>10</v>
      </c>
      <c r="E89">
        <v>1</v>
      </c>
      <c r="F89">
        <v>55000</v>
      </c>
      <c r="G89" t="s">
        <v>13</v>
      </c>
      <c r="H89">
        <v>55000</v>
      </c>
      <c r="I89" t="str">
        <f t="shared" si="1"/>
        <v>Apr</v>
      </c>
    </row>
    <row r="90" spans="1:9">
      <c r="A90">
        <v>1089</v>
      </c>
      <c r="B90" s="1">
        <v>45761</v>
      </c>
      <c r="C90" t="s">
        <v>14</v>
      </c>
      <c r="D90" t="s">
        <v>15</v>
      </c>
      <c r="E90">
        <v>1</v>
      </c>
      <c r="F90">
        <v>7500</v>
      </c>
      <c r="G90" t="s">
        <v>11</v>
      </c>
      <c r="H90">
        <v>7500</v>
      </c>
      <c r="I90" t="str">
        <f t="shared" si="1"/>
        <v>Apr</v>
      </c>
    </row>
    <row r="91" spans="1:9">
      <c r="A91">
        <v>1090</v>
      </c>
      <c r="B91" s="1">
        <v>45762</v>
      </c>
      <c r="C91" t="s">
        <v>20</v>
      </c>
      <c r="D91" t="s">
        <v>15</v>
      </c>
      <c r="E91">
        <v>2</v>
      </c>
      <c r="F91">
        <v>6000</v>
      </c>
      <c r="G91" t="s">
        <v>18</v>
      </c>
      <c r="H91">
        <v>12000</v>
      </c>
      <c r="I91" t="str">
        <f t="shared" si="1"/>
        <v>Apr</v>
      </c>
    </row>
    <row r="92" spans="1:9">
      <c r="A92">
        <v>1091</v>
      </c>
      <c r="B92" s="1">
        <v>45763</v>
      </c>
      <c r="C92" t="s">
        <v>12</v>
      </c>
      <c r="D92" t="s">
        <v>10</v>
      </c>
      <c r="E92">
        <v>7</v>
      </c>
      <c r="F92">
        <v>800</v>
      </c>
      <c r="G92" t="s">
        <v>16</v>
      </c>
      <c r="H92">
        <v>5600</v>
      </c>
      <c r="I92" t="str">
        <f t="shared" si="1"/>
        <v>Apr</v>
      </c>
    </row>
    <row r="93" spans="1:9">
      <c r="A93">
        <v>1092</v>
      </c>
      <c r="B93" s="1">
        <v>45764</v>
      </c>
      <c r="C93" t="s">
        <v>21</v>
      </c>
      <c r="D93" t="s">
        <v>10</v>
      </c>
      <c r="E93">
        <v>3</v>
      </c>
      <c r="F93">
        <v>18000</v>
      </c>
      <c r="G93" t="s">
        <v>13</v>
      </c>
      <c r="H93">
        <v>54000</v>
      </c>
      <c r="I93" t="str">
        <f t="shared" si="1"/>
        <v>Apr</v>
      </c>
    </row>
    <row r="94" spans="1:9">
      <c r="A94">
        <v>1093</v>
      </c>
      <c r="B94" s="1">
        <v>45765</v>
      </c>
      <c r="C94" t="s">
        <v>19</v>
      </c>
      <c r="D94" t="s">
        <v>10</v>
      </c>
      <c r="E94">
        <v>3</v>
      </c>
      <c r="F94">
        <v>1500</v>
      </c>
      <c r="G94" t="s">
        <v>11</v>
      </c>
      <c r="H94">
        <v>4500</v>
      </c>
      <c r="I94" t="str">
        <f t="shared" si="1"/>
        <v>Apr</v>
      </c>
    </row>
    <row r="95" spans="1:9">
      <c r="A95">
        <v>1094</v>
      </c>
      <c r="B95" s="1">
        <v>45766</v>
      </c>
      <c r="C95" t="s">
        <v>9</v>
      </c>
      <c r="D95" t="s">
        <v>10</v>
      </c>
      <c r="E95">
        <v>2</v>
      </c>
      <c r="F95">
        <v>55000</v>
      </c>
      <c r="G95" t="s">
        <v>16</v>
      </c>
      <c r="H95">
        <v>110000</v>
      </c>
      <c r="I95" t="str">
        <f t="shared" si="1"/>
        <v>Apr</v>
      </c>
    </row>
    <row r="96" spans="1:9">
      <c r="A96">
        <v>1095</v>
      </c>
      <c r="B96" s="1">
        <v>45767</v>
      </c>
      <c r="C96" t="s">
        <v>17</v>
      </c>
      <c r="D96" t="s">
        <v>15</v>
      </c>
      <c r="E96">
        <v>1</v>
      </c>
      <c r="F96">
        <v>12000</v>
      </c>
      <c r="G96" t="s">
        <v>18</v>
      </c>
      <c r="H96">
        <v>12000</v>
      </c>
      <c r="I96" t="str">
        <f t="shared" si="1"/>
        <v>Apr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1B9F-79CB-4E5B-A461-09B316DE6646}">
  <dimension ref="C1:I24"/>
  <sheetViews>
    <sheetView workbookViewId="0">
      <selection activeCell="D2" sqref="D2:E8"/>
    </sheetView>
  </sheetViews>
  <sheetFormatPr defaultRowHeight="15"/>
  <cols>
    <col min="1" max="1" width="11.42578125" bestFit="1" customWidth="1"/>
    <col min="2" max="2" width="15" bestFit="1" customWidth="1"/>
    <col min="3" max="3" width="7.42578125" hidden="1" customWidth="1"/>
    <col min="4" max="4" width="7.42578125" bestFit="1" customWidth="1"/>
    <col min="5" max="5" width="14.28515625" customWidth="1"/>
    <col min="6" max="6" width="4.7109375" bestFit="1" customWidth="1"/>
    <col min="7" max="7" width="27.5703125" customWidth="1"/>
    <col min="8" max="8" width="15.5703125" customWidth="1"/>
    <col min="9" max="9" width="7.42578125" hidden="1" customWidth="1"/>
    <col min="10" max="10" width="15.28515625" customWidth="1"/>
    <col min="11" max="11" width="10" customWidth="1"/>
    <col min="12" max="12" width="19.28515625" customWidth="1"/>
    <col min="13" max="13" width="5.140625" bestFit="1" customWidth="1"/>
    <col min="14" max="16" width="6.28515625" customWidth="1"/>
    <col min="17" max="18" width="6.28515625" bestFit="1" customWidth="1"/>
    <col min="19" max="19" width="5.140625" bestFit="1" customWidth="1"/>
    <col min="20" max="20" width="6.28515625" bestFit="1" customWidth="1"/>
    <col min="21" max="21" width="7.42578125" bestFit="1" customWidth="1"/>
    <col min="22" max="24" width="6.28515625" bestFit="1" customWidth="1"/>
    <col min="25" max="28" width="7.42578125" bestFit="1" customWidth="1"/>
    <col min="29" max="29" width="6.85546875" bestFit="1" customWidth="1"/>
    <col min="30" max="30" width="11.140625" bestFit="1" customWidth="1"/>
    <col min="31" max="32" width="5.140625" bestFit="1" customWidth="1"/>
    <col min="33" max="34" width="6.28515625" bestFit="1" customWidth="1"/>
    <col min="35" max="35" width="5.140625" bestFit="1" customWidth="1"/>
    <col min="36" max="37" width="6.28515625" bestFit="1" customWidth="1"/>
    <col min="38" max="38" width="5.140625" bestFit="1" customWidth="1"/>
    <col min="39" max="39" width="7.42578125" bestFit="1" customWidth="1"/>
    <col min="40" max="40" width="6.28515625" bestFit="1" customWidth="1"/>
    <col min="41" max="41" width="8.5703125" bestFit="1" customWidth="1"/>
    <col min="42" max="42" width="5.85546875" bestFit="1" customWidth="1"/>
    <col min="43" max="44" width="6.28515625" bestFit="1" customWidth="1"/>
    <col min="45" max="45" width="5.140625" bestFit="1" customWidth="1"/>
    <col min="46" max="46" width="6.28515625" bestFit="1" customWidth="1"/>
    <col min="47" max="47" width="5.140625" bestFit="1" customWidth="1"/>
    <col min="48" max="48" width="6.28515625" bestFit="1" customWidth="1"/>
    <col min="49" max="49" width="7.42578125" bestFit="1" customWidth="1"/>
    <col min="50" max="50" width="5.140625" bestFit="1" customWidth="1"/>
    <col min="51" max="51" width="6.28515625" bestFit="1" customWidth="1"/>
    <col min="52" max="52" width="5.140625" bestFit="1" customWidth="1"/>
    <col min="53" max="55" width="6.28515625" bestFit="1" customWidth="1"/>
    <col min="56" max="58" width="5.140625" bestFit="1" customWidth="1"/>
    <col min="59" max="59" width="6.28515625" bestFit="1" customWidth="1"/>
    <col min="60" max="60" width="7.42578125" bestFit="1" customWidth="1"/>
    <col min="61" max="61" width="6.28515625" bestFit="1" customWidth="1"/>
    <col min="62" max="64" width="5.140625" bestFit="1" customWidth="1"/>
    <col min="65" max="66" width="6.28515625" bestFit="1" customWidth="1"/>
    <col min="67" max="67" width="8.85546875" bestFit="1" customWidth="1"/>
    <col min="68" max="68" width="6.28515625" bestFit="1" customWidth="1"/>
    <col min="69" max="69" width="5.140625" bestFit="1" customWidth="1"/>
    <col min="70" max="71" width="6.28515625" bestFit="1" customWidth="1"/>
    <col min="72" max="72" width="5.140625" bestFit="1" customWidth="1"/>
    <col min="73" max="73" width="6.28515625" bestFit="1" customWidth="1"/>
    <col min="74" max="74" width="5.140625" bestFit="1" customWidth="1"/>
    <col min="75" max="75" width="7.42578125" bestFit="1" customWidth="1"/>
    <col min="76" max="76" width="5.140625" bestFit="1" customWidth="1"/>
    <col min="77" max="78" width="6.28515625" bestFit="1" customWidth="1"/>
    <col min="79" max="79" width="5.140625" bestFit="1" customWidth="1"/>
    <col min="80" max="80" width="6.28515625" bestFit="1" customWidth="1"/>
    <col min="81" max="81" width="5.140625" bestFit="1" customWidth="1"/>
    <col min="82" max="82" width="6.28515625" bestFit="1" customWidth="1"/>
    <col min="83" max="83" width="5.140625" bestFit="1" customWidth="1"/>
    <col min="84" max="84" width="6.28515625" bestFit="1" customWidth="1"/>
    <col min="85" max="85" width="5.140625" bestFit="1" customWidth="1"/>
    <col min="86" max="86" width="7.42578125" bestFit="1" customWidth="1"/>
    <col min="87" max="87" width="6.28515625" bestFit="1" customWidth="1"/>
    <col min="88" max="88" width="9.42578125" bestFit="1" customWidth="1"/>
    <col min="89" max="90" width="6.28515625" bestFit="1" customWidth="1"/>
    <col min="91" max="91" width="5.140625" bestFit="1" customWidth="1"/>
    <col min="92" max="92" width="6.28515625" bestFit="1" customWidth="1"/>
    <col min="93" max="93" width="5.140625" bestFit="1" customWidth="1"/>
    <col min="94" max="94" width="6.28515625" bestFit="1" customWidth="1"/>
    <col min="95" max="95" width="5.140625" bestFit="1" customWidth="1"/>
    <col min="96" max="96" width="7.42578125" bestFit="1" customWidth="1"/>
    <col min="97" max="97" width="6.28515625" bestFit="1" customWidth="1"/>
    <col min="98" max="98" width="5.140625" bestFit="1" customWidth="1"/>
    <col min="99" max="99" width="6.28515625" bestFit="1" customWidth="1"/>
    <col min="100" max="100" width="5.140625" bestFit="1" customWidth="1"/>
    <col min="101" max="101" width="6.28515625" bestFit="1" customWidth="1"/>
    <col min="102" max="102" width="5.140625" bestFit="1" customWidth="1"/>
    <col min="103" max="103" width="6.28515625" bestFit="1" customWidth="1"/>
    <col min="104" max="104" width="5.140625" bestFit="1" customWidth="1"/>
    <col min="105" max="105" width="6.28515625" bestFit="1" customWidth="1"/>
    <col min="106" max="106" width="5.140625" bestFit="1" customWidth="1"/>
    <col min="107" max="107" width="7.42578125" bestFit="1" customWidth="1"/>
    <col min="108" max="108" width="6.28515625" bestFit="1" customWidth="1"/>
    <col min="109" max="109" width="8.85546875" bestFit="1" customWidth="1"/>
    <col min="110" max="110" width="6.85546875" bestFit="1" customWidth="1"/>
    <col min="111" max="111" width="9.5703125" bestFit="1" customWidth="1"/>
    <col min="112" max="112" width="11.140625" bestFit="1" customWidth="1"/>
  </cols>
  <sheetData>
    <row r="1" spans="4:9">
      <c r="G1" s="8" t="s">
        <v>6</v>
      </c>
      <c r="H1" s="8" t="s">
        <v>8</v>
      </c>
      <c r="I1" s="7" t="s">
        <v>22</v>
      </c>
    </row>
    <row r="2" spans="4:9">
      <c r="D2" s="8" t="s">
        <v>8</v>
      </c>
      <c r="E2" s="7" t="s">
        <v>22</v>
      </c>
      <c r="G2" s="7" t="s">
        <v>18</v>
      </c>
      <c r="H2" s="7" t="s">
        <v>23</v>
      </c>
      <c r="I2" s="9">
        <v>166300</v>
      </c>
    </row>
    <row r="3" spans="4:9">
      <c r="D3" s="7" t="s">
        <v>23</v>
      </c>
      <c r="E3" s="9">
        <v>799200</v>
      </c>
      <c r="G3" s="7"/>
      <c r="H3" s="7" t="s">
        <v>24</v>
      </c>
      <c r="I3" s="9">
        <v>203200</v>
      </c>
    </row>
    <row r="4" spans="4:9">
      <c r="D4" s="7" t="s">
        <v>24</v>
      </c>
      <c r="E4" s="9">
        <v>662000</v>
      </c>
      <c r="G4" s="7"/>
      <c r="H4" s="7" t="s">
        <v>25</v>
      </c>
      <c r="I4" s="9">
        <v>150500</v>
      </c>
    </row>
    <row r="5" spans="4:9">
      <c r="D5" s="7" t="s">
        <v>25</v>
      </c>
      <c r="E5" s="9">
        <v>558900</v>
      </c>
      <c r="G5" s="7"/>
      <c r="H5" s="7" t="s">
        <v>26</v>
      </c>
      <c r="I5" s="9">
        <v>153500</v>
      </c>
    </row>
    <row r="6" spans="4:9">
      <c r="D6" s="7" t="s">
        <v>26</v>
      </c>
      <c r="E6" s="9">
        <v>561300</v>
      </c>
      <c r="G6" s="7" t="s">
        <v>27</v>
      </c>
      <c r="H6" s="7"/>
      <c r="I6" s="9">
        <v>673500</v>
      </c>
    </row>
    <row r="7" spans="4:9">
      <c r="D7" s="7" t="s">
        <v>28</v>
      </c>
      <c r="E7" s="9"/>
      <c r="G7" s="7" t="s">
        <v>13</v>
      </c>
      <c r="H7" s="7" t="s">
        <v>23</v>
      </c>
      <c r="I7" s="9">
        <v>116200</v>
      </c>
    </row>
    <row r="8" spans="4:9">
      <c r="D8" s="7" t="s">
        <v>29</v>
      </c>
      <c r="E8" s="9">
        <v>2581400</v>
      </c>
      <c r="G8" s="7"/>
      <c r="H8" s="7" t="s">
        <v>24</v>
      </c>
      <c r="I8" s="9">
        <v>129500</v>
      </c>
    </row>
    <row r="9" spans="4:9">
      <c r="G9" s="7"/>
      <c r="H9" s="7" t="s">
        <v>25</v>
      </c>
      <c r="I9" s="9">
        <v>126500</v>
      </c>
    </row>
    <row r="10" spans="4:9">
      <c r="G10" s="7"/>
      <c r="H10" s="7" t="s">
        <v>26</v>
      </c>
      <c r="I10" s="9">
        <v>164800</v>
      </c>
    </row>
    <row r="11" spans="4:9">
      <c r="G11" s="7" t="s">
        <v>30</v>
      </c>
      <c r="H11" s="7"/>
      <c r="I11" s="9">
        <v>537000</v>
      </c>
    </row>
    <row r="12" spans="4:9">
      <c r="G12" s="7" t="s">
        <v>11</v>
      </c>
      <c r="H12" s="7" t="s">
        <v>23</v>
      </c>
      <c r="I12" s="9">
        <v>259700</v>
      </c>
    </row>
    <row r="13" spans="4:9">
      <c r="G13" s="7"/>
      <c r="H13" s="7" t="s">
        <v>24</v>
      </c>
      <c r="I13" s="9">
        <v>169800</v>
      </c>
    </row>
    <row r="14" spans="4:9">
      <c r="G14" s="7"/>
      <c r="H14" s="7" t="s">
        <v>25</v>
      </c>
      <c r="I14" s="9">
        <v>101100</v>
      </c>
    </row>
    <row r="15" spans="4:9">
      <c r="G15" s="7"/>
      <c r="H15" s="7" t="s">
        <v>26</v>
      </c>
      <c r="I15" s="9">
        <v>91000</v>
      </c>
    </row>
    <row r="16" spans="4:9">
      <c r="G16" s="7" t="s">
        <v>31</v>
      </c>
      <c r="H16" s="7"/>
      <c r="I16" s="9">
        <v>621600</v>
      </c>
    </row>
    <row r="17" spans="7:9">
      <c r="G17" s="7" t="s">
        <v>16</v>
      </c>
      <c r="H17" s="7" t="s">
        <v>23</v>
      </c>
      <c r="I17" s="9">
        <v>257000</v>
      </c>
    </row>
    <row r="18" spans="7:9">
      <c r="G18" s="7"/>
      <c r="H18" s="7" t="s">
        <v>24</v>
      </c>
      <c r="I18" s="9">
        <v>159500</v>
      </c>
    </row>
    <row r="19" spans="7:9">
      <c r="G19" s="7"/>
      <c r="H19" s="7" t="s">
        <v>25</v>
      </c>
      <c r="I19" s="9">
        <v>180800</v>
      </c>
    </row>
    <row r="20" spans="7:9">
      <c r="G20" s="7"/>
      <c r="H20" s="7" t="s">
        <v>26</v>
      </c>
      <c r="I20" s="9">
        <v>152000</v>
      </c>
    </row>
    <row r="21" spans="7:9">
      <c r="G21" s="7" t="s">
        <v>32</v>
      </c>
      <c r="H21" s="7"/>
      <c r="I21" s="9">
        <v>749300</v>
      </c>
    </row>
    <row r="22" spans="7:9">
      <c r="G22" s="7" t="s">
        <v>33</v>
      </c>
      <c r="H22" s="7" t="s">
        <v>28</v>
      </c>
      <c r="I22" s="9"/>
    </row>
    <row r="23" spans="7:9">
      <c r="G23" s="7" t="s">
        <v>34</v>
      </c>
      <c r="H23" s="7"/>
      <c r="I23" s="9"/>
    </row>
    <row r="24" spans="7:9">
      <c r="G24" s="7" t="s">
        <v>29</v>
      </c>
      <c r="H24" s="7"/>
      <c r="I24" s="9">
        <v>2581400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7513-6A74-40D8-8FF9-994D89DE3FE4}">
  <dimension ref="A3:B11"/>
  <sheetViews>
    <sheetView topLeftCell="A3" workbookViewId="0">
      <selection activeCell="L8" sqref="L8"/>
    </sheetView>
  </sheetViews>
  <sheetFormatPr defaultRowHeight="15"/>
  <cols>
    <col min="1" max="1" width="11.42578125" bestFit="1" customWidth="1"/>
    <col min="2" max="3" width="15.28515625" bestFit="1" customWidth="1"/>
  </cols>
  <sheetData>
    <row r="3" spans="1:2">
      <c r="A3" s="5" t="s">
        <v>2</v>
      </c>
      <c r="B3" t="s">
        <v>22</v>
      </c>
    </row>
    <row r="4" spans="1:2">
      <c r="A4" t="s">
        <v>20</v>
      </c>
      <c r="B4" s="6">
        <v>84000</v>
      </c>
    </row>
    <row r="5" spans="1:2">
      <c r="A5" t="s">
        <v>17</v>
      </c>
      <c r="B5" s="6">
        <v>192000</v>
      </c>
    </row>
    <row r="6" spans="1:2">
      <c r="A6" t="s">
        <v>19</v>
      </c>
      <c r="B6" s="6">
        <v>75000</v>
      </c>
    </row>
    <row r="7" spans="1:2">
      <c r="A7" t="s">
        <v>9</v>
      </c>
      <c r="B7" s="6">
        <v>1540000</v>
      </c>
    </row>
    <row r="8" spans="1:2">
      <c r="A8" t="s">
        <v>21</v>
      </c>
      <c r="B8" s="6">
        <v>504000</v>
      </c>
    </row>
    <row r="9" spans="1:2">
      <c r="A9" t="s">
        <v>12</v>
      </c>
      <c r="B9" s="6">
        <v>66400</v>
      </c>
    </row>
    <row r="10" spans="1:2">
      <c r="A10" t="s">
        <v>14</v>
      </c>
      <c r="B10" s="6">
        <v>120000</v>
      </c>
    </row>
    <row r="11" spans="1:2">
      <c r="A11" t="s">
        <v>29</v>
      </c>
      <c r="B11" s="6">
        <v>2581400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431A-1BB3-404A-866B-D41510B45B03}">
  <dimension ref="A3:B6"/>
  <sheetViews>
    <sheetView workbookViewId="0">
      <selection activeCell="O13" sqref="O13"/>
    </sheetView>
  </sheetViews>
  <sheetFormatPr defaultRowHeight="15"/>
  <cols>
    <col min="1" max="1" width="12" bestFit="1" customWidth="1"/>
    <col min="2" max="2" width="15.28515625" bestFit="1" customWidth="1"/>
  </cols>
  <sheetData>
    <row r="3" spans="1:2">
      <c r="A3" s="5" t="s">
        <v>3</v>
      </c>
      <c r="B3" t="s">
        <v>22</v>
      </c>
    </row>
    <row r="4" spans="1:2">
      <c r="A4" t="s">
        <v>10</v>
      </c>
      <c r="B4" s="6">
        <v>2185400</v>
      </c>
    </row>
    <row r="5" spans="1:2">
      <c r="A5" t="s">
        <v>15</v>
      </c>
      <c r="B5" s="6">
        <v>396000</v>
      </c>
    </row>
    <row r="6" spans="1:2">
      <c r="A6" t="s">
        <v>29</v>
      </c>
      <c r="B6" s="6">
        <v>2581400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C5167-E49F-4BC0-8740-01DC4F93275A}">
  <dimension ref="B3:C8"/>
  <sheetViews>
    <sheetView workbookViewId="0">
      <selection activeCell="H20" sqref="H20"/>
    </sheetView>
  </sheetViews>
  <sheetFormatPr defaultRowHeight="15"/>
  <cols>
    <col min="1" max="2" width="11.42578125" bestFit="1" customWidth="1"/>
    <col min="3" max="3" width="15.28515625" customWidth="1"/>
  </cols>
  <sheetData>
    <row r="3" spans="2:3">
      <c r="B3" s="5" t="s">
        <v>6</v>
      </c>
      <c r="C3" t="s">
        <v>22</v>
      </c>
    </row>
    <row r="4" spans="2:3">
      <c r="B4" t="s">
        <v>16</v>
      </c>
      <c r="C4" s="6">
        <v>749300</v>
      </c>
    </row>
    <row r="5" spans="2:3">
      <c r="B5" t="s">
        <v>11</v>
      </c>
      <c r="C5" s="6">
        <v>621600</v>
      </c>
    </row>
    <row r="6" spans="2:3">
      <c r="B6" t="s">
        <v>13</v>
      </c>
      <c r="C6" s="6">
        <v>537000</v>
      </c>
    </row>
    <row r="7" spans="2:3">
      <c r="B7" t="s">
        <v>18</v>
      </c>
      <c r="C7" s="6">
        <v>673500</v>
      </c>
    </row>
    <row r="8" spans="2:3">
      <c r="B8" t="s">
        <v>29</v>
      </c>
      <c r="C8" s="6">
        <v>2581400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BBA2-790F-44C2-91EB-87C4F5129380}">
  <dimension ref="A1:Y1048576"/>
  <sheetViews>
    <sheetView workbookViewId="0">
      <selection sqref="A1:J96"/>
    </sheetView>
  </sheetViews>
  <sheetFormatPr defaultRowHeight="15"/>
  <cols>
    <col min="1" max="9" width="15.28515625" customWidth="1"/>
    <col min="10" max="10" width="9.42578125" bestFit="1" customWidth="1"/>
  </cols>
  <sheetData>
    <row r="1" spans="1:1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2" t="s">
        <v>7</v>
      </c>
      <c r="I1" s="3" t="s">
        <v>8</v>
      </c>
      <c r="J1" s="3" t="s">
        <v>35</v>
      </c>
      <c r="K1" s="7"/>
    </row>
    <row r="2" spans="1:11">
      <c r="A2" s="3">
        <v>1001</v>
      </c>
      <c r="B2" s="4">
        <v>45659</v>
      </c>
      <c r="C2" s="3" t="s">
        <v>9</v>
      </c>
      <c r="D2" s="3" t="s">
        <v>10</v>
      </c>
      <c r="E2" s="3">
        <v>2</v>
      </c>
      <c r="F2" s="3">
        <v>55000</v>
      </c>
      <c r="G2" s="3" t="s">
        <v>11</v>
      </c>
      <c r="H2" s="12">
        <v>110000</v>
      </c>
      <c r="I2" s="3" t="str">
        <f>TEXT(B2,"mmm")</f>
        <v>Jan</v>
      </c>
      <c r="J2" s="3">
        <f t="shared" ref="J2" si="0">AVERAGE(A2:I2)</f>
        <v>42332.4</v>
      </c>
    </row>
    <row r="3" spans="1:11">
      <c r="A3" s="3">
        <v>1002</v>
      </c>
      <c r="B3" s="4">
        <v>45660</v>
      </c>
      <c r="C3" s="3" t="s">
        <v>12</v>
      </c>
      <c r="D3" s="3" t="s">
        <v>10</v>
      </c>
      <c r="E3" s="3">
        <v>5</v>
      </c>
      <c r="F3" s="3">
        <v>800</v>
      </c>
      <c r="G3" s="3" t="s">
        <v>13</v>
      </c>
      <c r="H3" s="12">
        <v>4000</v>
      </c>
      <c r="I3" s="3" t="str">
        <f t="shared" ref="I3:I66" si="1">TEXT(B3,"mmm")</f>
        <v>Jan</v>
      </c>
      <c r="J3" s="3">
        <f>AVERAGE(A3:I3)</f>
        <v>10293.4</v>
      </c>
    </row>
    <row r="4" spans="1:11">
      <c r="A4" s="3">
        <v>1003</v>
      </c>
      <c r="B4" s="4">
        <v>45661</v>
      </c>
      <c r="C4" s="3" t="s">
        <v>14</v>
      </c>
      <c r="D4" s="3" t="s">
        <v>15</v>
      </c>
      <c r="E4" s="3">
        <v>1</v>
      </c>
      <c r="F4" s="3">
        <v>7500</v>
      </c>
      <c r="G4" s="3" t="s">
        <v>16</v>
      </c>
      <c r="H4" s="12">
        <v>7500</v>
      </c>
      <c r="I4" s="3" t="str">
        <f t="shared" si="1"/>
        <v>Jan</v>
      </c>
      <c r="J4" s="3">
        <f>AVERAGE(A4:I4)</f>
        <v>12333</v>
      </c>
    </row>
    <row r="5" spans="1:11">
      <c r="A5" s="3">
        <v>1004</v>
      </c>
      <c r="B5" s="4">
        <v>45662</v>
      </c>
      <c r="C5" s="3" t="s">
        <v>17</v>
      </c>
      <c r="D5" s="3" t="s">
        <v>15</v>
      </c>
      <c r="E5" s="3">
        <v>1</v>
      </c>
      <c r="F5" s="3">
        <v>12000</v>
      </c>
      <c r="G5" s="3" t="s">
        <v>18</v>
      </c>
      <c r="H5" s="12">
        <v>12000</v>
      </c>
      <c r="I5" s="3" t="str">
        <f t="shared" si="1"/>
        <v>Jan</v>
      </c>
      <c r="J5" s="3">
        <f>AVERAGE(A5:I5)</f>
        <v>14133.4</v>
      </c>
    </row>
    <row r="6" spans="1:11">
      <c r="A6" s="3">
        <v>1005</v>
      </c>
      <c r="B6" s="4">
        <v>45662</v>
      </c>
      <c r="C6" s="3" t="s">
        <v>19</v>
      </c>
      <c r="D6" s="3" t="s">
        <v>10</v>
      </c>
      <c r="E6" s="3">
        <v>3</v>
      </c>
      <c r="F6" s="3">
        <v>1500</v>
      </c>
      <c r="G6" s="3" t="s">
        <v>11</v>
      </c>
      <c r="H6" s="12">
        <v>4500</v>
      </c>
      <c r="I6" s="3" t="str">
        <f t="shared" si="1"/>
        <v>Jan</v>
      </c>
      <c r="J6" s="3">
        <f>AVERAGE(A6:I6)</f>
        <v>10534</v>
      </c>
    </row>
    <row r="7" spans="1:11">
      <c r="A7" s="3">
        <v>1006</v>
      </c>
      <c r="B7" s="4">
        <v>45663</v>
      </c>
      <c r="C7" s="3" t="s">
        <v>9</v>
      </c>
      <c r="D7" s="3" t="s">
        <v>10</v>
      </c>
      <c r="E7" s="3">
        <v>1</v>
      </c>
      <c r="F7" s="3">
        <v>55000</v>
      </c>
      <c r="G7" s="3" t="s">
        <v>13</v>
      </c>
      <c r="H7" s="12">
        <v>55000</v>
      </c>
      <c r="I7" s="3" t="str">
        <f t="shared" si="1"/>
        <v>Jan</v>
      </c>
      <c r="J7" s="3">
        <f>AVERAGE(A7:I7)</f>
        <v>31334</v>
      </c>
    </row>
    <row r="8" spans="1:11">
      <c r="A8" s="3">
        <v>1007</v>
      </c>
      <c r="B8" s="4">
        <v>45664</v>
      </c>
      <c r="C8" s="3" t="s">
        <v>20</v>
      </c>
      <c r="D8" s="3" t="s">
        <v>15</v>
      </c>
      <c r="E8" s="3">
        <v>2</v>
      </c>
      <c r="F8" s="3">
        <v>6000</v>
      </c>
      <c r="G8" s="3" t="s">
        <v>16</v>
      </c>
      <c r="H8" s="12">
        <v>12000</v>
      </c>
      <c r="I8" s="3" t="str">
        <f t="shared" si="1"/>
        <v>Jan</v>
      </c>
      <c r="J8" s="3">
        <f>AVERAGE(A8:I8)</f>
        <v>12934.6</v>
      </c>
    </row>
    <row r="9" spans="1:11">
      <c r="A9" s="3">
        <v>1008</v>
      </c>
      <c r="B9" s="4">
        <v>45665</v>
      </c>
      <c r="C9" s="3" t="s">
        <v>21</v>
      </c>
      <c r="D9" s="3" t="s">
        <v>10</v>
      </c>
      <c r="E9" s="3">
        <v>2</v>
      </c>
      <c r="F9" s="3">
        <v>18000</v>
      </c>
      <c r="G9" s="3" t="s">
        <v>18</v>
      </c>
      <c r="H9" s="12">
        <v>36000</v>
      </c>
      <c r="I9" s="3" t="str">
        <f t="shared" si="1"/>
        <v>Jan</v>
      </c>
      <c r="J9" s="3">
        <f>AVERAGE(A9:I9)</f>
        <v>20135</v>
      </c>
    </row>
    <row r="10" spans="1:11">
      <c r="A10" s="3">
        <v>1009</v>
      </c>
      <c r="B10" s="4">
        <v>45666</v>
      </c>
      <c r="C10" s="3" t="s">
        <v>12</v>
      </c>
      <c r="D10" s="3" t="s">
        <v>10</v>
      </c>
      <c r="E10" s="3">
        <v>4</v>
      </c>
      <c r="F10" s="3">
        <v>800</v>
      </c>
      <c r="G10" s="3" t="s">
        <v>11</v>
      </c>
      <c r="H10" s="11">
        <v>3200</v>
      </c>
      <c r="I10" s="3" t="str">
        <f t="shared" si="1"/>
        <v>Jan</v>
      </c>
      <c r="J10" s="3">
        <f>AVERAGE(A10:I10)</f>
        <v>10135.799999999999</v>
      </c>
    </row>
    <row r="11" spans="1:11">
      <c r="A11" s="3">
        <v>1010</v>
      </c>
      <c r="B11" s="4">
        <v>45667</v>
      </c>
      <c r="C11" s="3" t="s">
        <v>17</v>
      </c>
      <c r="D11" s="3" t="s">
        <v>15</v>
      </c>
      <c r="E11" s="3">
        <v>1</v>
      </c>
      <c r="F11" s="3">
        <v>12000</v>
      </c>
      <c r="G11" s="3" t="s">
        <v>13</v>
      </c>
      <c r="H11" s="11">
        <v>12000</v>
      </c>
      <c r="I11" s="3" t="str">
        <f t="shared" si="1"/>
        <v>Jan</v>
      </c>
      <c r="J11" s="3">
        <f>AVERAGE(A11:I11)</f>
        <v>14135.6</v>
      </c>
    </row>
    <row r="12" spans="1:11">
      <c r="A12" s="3">
        <v>1011</v>
      </c>
      <c r="B12" s="4">
        <v>45668</v>
      </c>
      <c r="C12" s="3" t="s">
        <v>19</v>
      </c>
      <c r="D12" s="3" t="s">
        <v>10</v>
      </c>
      <c r="E12" s="3">
        <v>2</v>
      </c>
      <c r="F12" s="3">
        <v>1500</v>
      </c>
      <c r="G12" s="3" t="s">
        <v>16</v>
      </c>
      <c r="H12" s="11">
        <v>3000</v>
      </c>
      <c r="I12" s="3" t="str">
        <f t="shared" si="1"/>
        <v>Jan</v>
      </c>
      <c r="J12" s="3">
        <f>AVERAGE(A12:I12)</f>
        <v>10236.200000000001</v>
      </c>
    </row>
    <row r="13" spans="1:11">
      <c r="A13" s="3">
        <v>1012</v>
      </c>
      <c r="B13" s="4">
        <v>45669</v>
      </c>
      <c r="C13" s="3" t="s">
        <v>9</v>
      </c>
      <c r="D13" s="3" t="s">
        <v>10</v>
      </c>
      <c r="E13" s="3">
        <v>1</v>
      </c>
      <c r="F13" s="3">
        <v>55000</v>
      </c>
      <c r="G13" s="3" t="s">
        <v>18</v>
      </c>
      <c r="H13" s="11">
        <v>55000</v>
      </c>
      <c r="I13" s="3" t="str">
        <f t="shared" si="1"/>
        <v>Jan</v>
      </c>
      <c r="J13" s="3">
        <f>AVERAGE(A13:I13)</f>
        <v>31336.400000000001</v>
      </c>
    </row>
    <row r="14" spans="1:11">
      <c r="A14" s="3">
        <v>1013</v>
      </c>
      <c r="B14" s="4">
        <v>45670</v>
      </c>
      <c r="C14" s="3" t="s">
        <v>14</v>
      </c>
      <c r="D14" s="3" t="s">
        <v>15</v>
      </c>
      <c r="E14" s="3">
        <v>2</v>
      </c>
      <c r="F14" s="3">
        <v>7500</v>
      </c>
      <c r="G14" s="3" t="s">
        <v>11</v>
      </c>
      <c r="H14" s="11">
        <v>15000</v>
      </c>
      <c r="I14" s="3" t="str">
        <f t="shared" si="1"/>
        <v>Jan</v>
      </c>
      <c r="J14" s="3">
        <f>AVERAGE(A14:I14)</f>
        <v>13837</v>
      </c>
    </row>
    <row r="15" spans="1:11">
      <c r="A15" s="3">
        <v>1014</v>
      </c>
      <c r="B15" s="4">
        <v>45671</v>
      </c>
      <c r="C15" s="3" t="s">
        <v>21</v>
      </c>
      <c r="D15" s="3" t="s">
        <v>10</v>
      </c>
      <c r="E15" s="3">
        <v>1</v>
      </c>
      <c r="F15" s="3">
        <v>18000</v>
      </c>
      <c r="G15" s="3" t="s">
        <v>13</v>
      </c>
      <c r="H15" s="11">
        <v>18000</v>
      </c>
      <c r="I15" s="3" t="str">
        <f t="shared" si="1"/>
        <v>Jan</v>
      </c>
      <c r="J15" s="3">
        <f>AVERAGE(A15:I15)</f>
        <v>16537.2</v>
      </c>
    </row>
    <row r="16" spans="1:11">
      <c r="A16" s="3">
        <v>1015</v>
      </c>
      <c r="B16" s="4">
        <v>45672</v>
      </c>
      <c r="C16" s="3" t="s">
        <v>20</v>
      </c>
      <c r="D16" s="3" t="s">
        <v>15</v>
      </c>
      <c r="E16" s="3">
        <v>1</v>
      </c>
      <c r="F16" s="3">
        <v>6000</v>
      </c>
      <c r="G16" s="3" t="s">
        <v>16</v>
      </c>
      <c r="H16" s="11">
        <v>6000</v>
      </c>
      <c r="I16" s="3" t="str">
        <f t="shared" si="1"/>
        <v>Jan</v>
      </c>
      <c r="J16" s="3">
        <f>AVERAGE(A16:I16)</f>
        <v>11737.6</v>
      </c>
    </row>
    <row r="17" spans="1:10">
      <c r="A17" s="3">
        <v>1016</v>
      </c>
      <c r="B17" s="4">
        <v>45673</v>
      </c>
      <c r="C17" s="3" t="s">
        <v>12</v>
      </c>
      <c r="D17" s="3" t="s">
        <v>10</v>
      </c>
      <c r="E17" s="3">
        <v>6</v>
      </c>
      <c r="F17" s="3">
        <v>800</v>
      </c>
      <c r="G17" s="3" t="s">
        <v>18</v>
      </c>
      <c r="H17" s="11">
        <v>4800</v>
      </c>
      <c r="I17" s="3" t="str">
        <f t="shared" si="1"/>
        <v>Jan</v>
      </c>
      <c r="J17" s="3">
        <f>AVERAGE(A17:I17)</f>
        <v>10459</v>
      </c>
    </row>
    <row r="18" spans="1:10">
      <c r="A18" s="3">
        <v>1017</v>
      </c>
      <c r="B18" s="4">
        <v>45674</v>
      </c>
      <c r="C18" s="3" t="s">
        <v>19</v>
      </c>
      <c r="D18" s="3" t="s">
        <v>10</v>
      </c>
      <c r="E18" s="3">
        <v>4</v>
      </c>
      <c r="F18" s="3">
        <v>1500</v>
      </c>
      <c r="G18" s="3" t="s">
        <v>11</v>
      </c>
      <c r="H18" s="11">
        <v>6000</v>
      </c>
      <c r="I18" s="3" t="str">
        <f t="shared" si="1"/>
        <v>Jan</v>
      </c>
      <c r="J18" s="3">
        <f>AVERAGE(A18:I18)</f>
        <v>10839</v>
      </c>
    </row>
    <row r="19" spans="1:10">
      <c r="A19" s="3">
        <v>1018</v>
      </c>
      <c r="B19" s="4">
        <v>45675</v>
      </c>
      <c r="C19" s="3" t="s">
        <v>9</v>
      </c>
      <c r="D19" s="3" t="s">
        <v>10</v>
      </c>
      <c r="E19" s="3">
        <v>2</v>
      </c>
      <c r="F19" s="3">
        <v>55000</v>
      </c>
      <c r="G19" s="3" t="s">
        <v>16</v>
      </c>
      <c r="H19" s="11">
        <v>110000</v>
      </c>
      <c r="I19" s="3" t="str">
        <f t="shared" si="1"/>
        <v>Jan</v>
      </c>
      <c r="J19" s="3">
        <f>AVERAGE(A19:I19)</f>
        <v>42339</v>
      </c>
    </row>
    <row r="20" spans="1:10">
      <c r="A20" s="3">
        <v>1019</v>
      </c>
      <c r="B20" s="4">
        <v>45676</v>
      </c>
      <c r="C20" s="3" t="s">
        <v>17</v>
      </c>
      <c r="D20" s="3" t="s">
        <v>15</v>
      </c>
      <c r="E20" s="3">
        <v>1</v>
      </c>
      <c r="F20" s="3">
        <v>12000</v>
      </c>
      <c r="G20" s="3" t="s">
        <v>13</v>
      </c>
      <c r="H20" s="11">
        <v>12000</v>
      </c>
      <c r="I20" s="3" t="str">
        <f t="shared" si="1"/>
        <v>Jan</v>
      </c>
      <c r="J20" s="3">
        <f>AVERAGE(A20:I20)</f>
        <v>14139.2</v>
      </c>
    </row>
    <row r="21" spans="1:10">
      <c r="A21" s="3">
        <v>1020</v>
      </c>
      <c r="B21" s="4">
        <v>45677</v>
      </c>
      <c r="C21" s="3" t="s">
        <v>21</v>
      </c>
      <c r="D21" s="3" t="s">
        <v>10</v>
      </c>
      <c r="E21" s="3">
        <v>3</v>
      </c>
      <c r="F21" s="3">
        <v>18000</v>
      </c>
      <c r="G21" s="3" t="s">
        <v>11</v>
      </c>
      <c r="H21" s="11">
        <v>54000</v>
      </c>
      <c r="I21" s="3" t="str">
        <f t="shared" si="1"/>
        <v>Jan</v>
      </c>
      <c r="J21" s="3">
        <f>AVERAGE(A21:I21)</f>
        <v>23740</v>
      </c>
    </row>
    <row r="22" spans="1:10">
      <c r="A22" s="3">
        <v>1021</v>
      </c>
      <c r="B22" s="4">
        <v>45678</v>
      </c>
      <c r="C22" s="3" t="s">
        <v>12</v>
      </c>
      <c r="D22" s="3" t="s">
        <v>10</v>
      </c>
      <c r="E22" s="3">
        <v>5</v>
      </c>
      <c r="F22" s="3">
        <v>800</v>
      </c>
      <c r="G22" s="3" t="s">
        <v>16</v>
      </c>
      <c r="H22" s="11">
        <v>4000</v>
      </c>
      <c r="I22" s="3" t="str">
        <f t="shared" si="1"/>
        <v>Jan</v>
      </c>
      <c r="J22" s="3">
        <f>AVERAGE(A22:I22)</f>
        <v>10300.799999999999</v>
      </c>
    </row>
    <row r="23" spans="1:10">
      <c r="A23" s="3">
        <v>1022</v>
      </c>
      <c r="B23" s="4">
        <v>45679</v>
      </c>
      <c r="C23" s="3" t="s">
        <v>14</v>
      </c>
      <c r="D23" s="3" t="s">
        <v>15</v>
      </c>
      <c r="E23" s="3">
        <v>1</v>
      </c>
      <c r="F23" s="3">
        <v>7500</v>
      </c>
      <c r="G23" s="3" t="s">
        <v>18</v>
      </c>
      <c r="H23" s="11">
        <v>7500</v>
      </c>
      <c r="I23" s="3" t="str">
        <f t="shared" si="1"/>
        <v>Jan</v>
      </c>
      <c r="J23" s="3">
        <f>AVERAGE(A23:I23)</f>
        <v>12340.4</v>
      </c>
    </row>
    <row r="24" spans="1:10">
      <c r="A24" s="3">
        <v>1023</v>
      </c>
      <c r="B24" s="4">
        <v>45680</v>
      </c>
      <c r="C24" s="3" t="s">
        <v>9</v>
      </c>
      <c r="D24" s="3" t="s">
        <v>10</v>
      </c>
      <c r="E24" s="3">
        <v>1</v>
      </c>
      <c r="F24" s="3">
        <v>55000</v>
      </c>
      <c r="G24" s="3" t="s">
        <v>11</v>
      </c>
      <c r="H24" s="11">
        <v>55000</v>
      </c>
      <c r="I24" s="3" t="str">
        <f t="shared" si="1"/>
        <v>Jan</v>
      </c>
      <c r="J24" s="3">
        <f>AVERAGE(A24:I24)</f>
        <v>31340.799999999999</v>
      </c>
    </row>
    <row r="25" spans="1:10">
      <c r="A25" s="3">
        <v>1024</v>
      </c>
      <c r="B25" s="4">
        <v>45681</v>
      </c>
      <c r="C25" s="3" t="s">
        <v>20</v>
      </c>
      <c r="D25" s="3" t="s">
        <v>15</v>
      </c>
      <c r="E25" s="3">
        <v>2</v>
      </c>
      <c r="F25" s="3">
        <v>6000</v>
      </c>
      <c r="G25" s="3" t="s">
        <v>13</v>
      </c>
      <c r="H25" s="11">
        <v>12000</v>
      </c>
      <c r="I25" s="3" t="str">
        <f t="shared" si="1"/>
        <v>Jan</v>
      </c>
      <c r="J25" s="3">
        <f>AVERAGE(A25:I25)</f>
        <v>12941.4</v>
      </c>
    </row>
    <row r="26" spans="1:10">
      <c r="A26" s="3">
        <v>1025</v>
      </c>
      <c r="B26" s="4">
        <v>45682</v>
      </c>
      <c r="C26" s="3" t="s">
        <v>19</v>
      </c>
      <c r="D26" s="3" t="s">
        <v>10</v>
      </c>
      <c r="E26" s="3">
        <v>3</v>
      </c>
      <c r="F26" s="3">
        <v>1500</v>
      </c>
      <c r="G26" s="3" t="s">
        <v>16</v>
      </c>
      <c r="H26" s="11">
        <v>4500</v>
      </c>
      <c r="I26" s="3" t="str">
        <f t="shared" si="1"/>
        <v>Jan</v>
      </c>
      <c r="J26" s="3">
        <f>AVERAGE(A26:I26)</f>
        <v>10542</v>
      </c>
    </row>
    <row r="27" spans="1:10">
      <c r="A27" s="3">
        <v>1026</v>
      </c>
      <c r="B27" s="4">
        <v>45683</v>
      </c>
      <c r="C27" s="3" t="s">
        <v>21</v>
      </c>
      <c r="D27" s="3" t="s">
        <v>10</v>
      </c>
      <c r="E27" s="3">
        <v>2</v>
      </c>
      <c r="F27" s="3">
        <v>18000</v>
      </c>
      <c r="G27" s="3" t="s">
        <v>18</v>
      </c>
      <c r="H27" s="11">
        <v>36000</v>
      </c>
      <c r="I27" s="3" t="str">
        <f t="shared" si="1"/>
        <v>Jan</v>
      </c>
      <c r="J27" s="3">
        <f>AVERAGE(A27:I27)</f>
        <v>20142.2</v>
      </c>
    </row>
    <row r="28" spans="1:10">
      <c r="A28" s="3">
        <v>1027</v>
      </c>
      <c r="B28" s="4">
        <v>45684</v>
      </c>
      <c r="C28" s="3" t="s">
        <v>17</v>
      </c>
      <c r="D28" s="3" t="s">
        <v>15</v>
      </c>
      <c r="E28" s="3">
        <v>1</v>
      </c>
      <c r="F28" s="3">
        <v>12000</v>
      </c>
      <c r="G28" s="3" t="s">
        <v>11</v>
      </c>
      <c r="H28" s="11">
        <v>12000</v>
      </c>
      <c r="I28" s="3" t="str">
        <f t="shared" si="1"/>
        <v>Jan</v>
      </c>
      <c r="J28" s="3">
        <f>AVERAGE(A28:I28)</f>
        <v>14142.4</v>
      </c>
    </row>
    <row r="29" spans="1:10">
      <c r="A29" s="3">
        <v>1028</v>
      </c>
      <c r="B29" s="4">
        <v>45685</v>
      </c>
      <c r="C29" s="3" t="s">
        <v>12</v>
      </c>
      <c r="D29" s="3" t="s">
        <v>10</v>
      </c>
      <c r="E29" s="3">
        <v>4</v>
      </c>
      <c r="F29" s="3">
        <v>800</v>
      </c>
      <c r="G29" s="3" t="s">
        <v>13</v>
      </c>
      <c r="H29" s="11">
        <v>3200</v>
      </c>
      <c r="I29" s="3" t="str">
        <f t="shared" si="1"/>
        <v>Jan</v>
      </c>
      <c r="J29" s="3">
        <f>AVERAGE(A29:I29)</f>
        <v>10143.4</v>
      </c>
    </row>
    <row r="30" spans="1:10">
      <c r="A30" s="3">
        <v>1029</v>
      </c>
      <c r="B30" s="4">
        <v>45686</v>
      </c>
      <c r="C30" s="3" t="s">
        <v>9</v>
      </c>
      <c r="D30" s="3" t="s">
        <v>10</v>
      </c>
      <c r="E30" s="3">
        <v>2</v>
      </c>
      <c r="F30" s="3">
        <v>55000</v>
      </c>
      <c r="G30" s="3" t="s">
        <v>16</v>
      </c>
      <c r="H30" s="11">
        <v>110000</v>
      </c>
      <c r="I30" s="3" t="str">
        <f t="shared" si="1"/>
        <v>Jan</v>
      </c>
      <c r="J30" s="3">
        <f>AVERAGE(A30:I30)</f>
        <v>42343.4</v>
      </c>
    </row>
    <row r="31" spans="1:10">
      <c r="A31" s="3">
        <v>1030</v>
      </c>
      <c r="B31" s="4">
        <v>45687</v>
      </c>
      <c r="C31" s="3" t="s">
        <v>14</v>
      </c>
      <c r="D31" s="3" t="s">
        <v>15</v>
      </c>
      <c r="E31" s="3">
        <v>2</v>
      </c>
      <c r="F31" s="3">
        <v>7500</v>
      </c>
      <c r="G31" s="3" t="s">
        <v>18</v>
      </c>
      <c r="H31" s="11">
        <v>15000</v>
      </c>
      <c r="I31" s="3" t="str">
        <f t="shared" si="1"/>
        <v>Jan</v>
      </c>
      <c r="J31" s="3">
        <f>AVERAGE(A31:I31)</f>
        <v>13843.8</v>
      </c>
    </row>
    <row r="32" spans="1:10">
      <c r="A32" s="3">
        <v>1031</v>
      </c>
      <c r="B32" s="4">
        <v>45689</v>
      </c>
      <c r="C32" s="3" t="s">
        <v>12</v>
      </c>
      <c r="D32" s="3" t="s">
        <v>10</v>
      </c>
      <c r="E32" s="3">
        <v>5</v>
      </c>
      <c r="F32" s="3">
        <v>800</v>
      </c>
      <c r="G32" s="3" t="s">
        <v>11</v>
      </c>
      <c r="H32" s="11">
        <v>4000</v>
      </c>
      <c r="I32" s="3" t="str">
        <f t="shared" si="1"/>
        <v>Feb</v>
      </c>
      <c r="J32" s="3">
        <f>AVERAGE(A32:I32)</f>
        <v>10305</v>
      </c>
    </row>
    <row r="33" spans="1:10">
      <c r="A33" s="3">
        <v>1032</v>
      </c>
      <c r="B33" s="4">
        <v>45690</v>
      </c>
      <c r="C33" s="3" t="s">
        <v>9</v>
      </c>
      <c r="D33" s="3" t="s">
        <v>10</v>
      </c>
      <c r="E33" s="3">
        <v>1</v>
      </c>
      <c r="F33" s="3">
        <v>55000</v>
      </c>
      <c r="G33" s="3" t="s">
        <v>13</v>
      </c>
      <c r="H33" s="11">
        <v>55000</v>
      </c>
      <c r="I33" s="3" t="str">
        <f t="shared" si="1"/>
        <v>Feb</v>
      </c>
      <c r="J33" s="3">
        <f>AVERAGE(A33:I33)</f>
        <v>31344.6</v>
      </c>
    </row>
    <row r="34" spans="1:10">
      <c r="A34" s="3">
        <v>1033</v>
      </c>
      <c r="B34" s="4">
        <v>45691</v>
      </c>
      <c r="C34" s="3" t="s">
        <v>17</v>
      </c>
      <c r="D34" s="3" t="s">
        <v>15</v>
      </c>
      <c r="E34" s="3">
        <v>2</v>
      </c>
      <c r="F34" s="3">
        <v>12000</v>
      </c>
      <c r="G34" s="3" t="s">
        <v>16</v>
      </c>
      <c r="H34" s="11">
        <v>24000</v>
      </c>
      <c r="I34" s="3" t="str">
        <f t="shared" si="1"/>
        <v>Feb</v>
      </c>
      <c r="J34" s="3">
        <f>AVERAGE(A34:I34)</f>
        <v>16545.2</v>
      </c>
    </row>
    <row r="35" spans="1:10">
      <c r="A35" s="3">
        <v>1034</v>
      </c>
      <c r="B35" s="4">
        <v>45692</v>
      </c>
      <c r="C35" s="3" t="s">
        <v>19</v>
      </c>
      <c r="D35" s="3" t="s">
        <v>10</v>
      </c>
      <c r="E35" s="3">
        <v>4</v>
      </c>
      <c r="F35" s="3">
        <v>1500</v>
      </c>
      <c r="G35" s="3" t="s">
        <v>18</v>
      </c>
      <c r="H35" s="11">
        <v>6000</v>
      </c>
      <c r="I35" s="3" t="str">
        <f t="shared" si="1"/>
        <v>Feb</v>
      </c>
      <c r="J35" s="3">
        <f>AVERAGE(A35:I35)</f>
        <v>10846</v>
      </c>
    </row>
    <row r="36" spans="1:10">
      <c r="A36" s="3">
        <v>1035</v>
      </c>
      <c r="B36" s="4">
        <v>45693</v>
      </c>
      <c r="C36" s="3" t="s">
        <v>21</v>
      </c>
      <c r="D36" s="3" t="s">
        <v>10</v>
      </c>
      <c r="E36" s="3">
        <v>2</v>
      </c>
      <c r="F36" s="3">
        <v>18000</v>
      </c>
      <c r="G36" s="3" t="s">
        <v>11</v>
      </c>
      <c r="H36" s="11">
        <v>36000</v>
      </c>
      <c r="I36" s="3" t="str">
        <f t="shared" si="1"/>
        <v>Feb</v>
      </c>
      <c r="J36" s="3">
        <f>AVERAGE(A36:I36)</f>
        <v>20146</v>
      </c>
    </row>
    <row r="37" spans="1:10">
      <c r="A37" s="3">
        <v>1036</v>
      </c>
      <c r="B37" s="4">
        <v>45694</v>
      </c>
      <c r="C37" s="3" t="s">
        <v>14</v>
      </c>
      <c r="D37" s="3" t="s">
        <v>15</v>
      </c>
      <c r="E37" s="3">
        <v>1</v>
      </c>
      <c r="F37" s="3">
        <v>7500</v>
      </c>
      <c r="G37" s="3" t="s">
        <v>13</v>
      </c>
      <c r="H37" s="11">
        <v>7500</v>
      </c>
      <c r="I37" s="3" t="str">
        <f t="shared" si="1"/>
        <v>Feb</v>
      </c>
      <c r="J37" s="3">
        <f>AVERAGE(A37:I37)</f>
        <v>12346.2</v>
      </c>
    </row>
    <row r="38" spans="1:10">
      <c r="A38" s="3">
        <v>1037</v>
      </c>
      <c r="B38" s="4">
        <v>45695</v>
      </c>
      <c r="C38" s="3" t="s">
        <v>20</v>
      </c>
      <c r="D38" s="3" t="s">
        <v>15</v>
      </c>
      <c r="E38" s="3">
        <v>2</v>
      </c>
      <c r="F38" s="3">
        <v>6000</v>
      </c>
      <c r="G38" s="3" t="s">
        <v>16</v>
      </c>
      <c r="H38" s="11">
        <v>12000</v>
      </c>
      <c r="I38" s="3" t="str">
        <f t="shared" si="1"/>
        <v>Feb</v>
      </c>
      <c r="J38" s="3">
        <f>AVERAGE(A38:I38)</f>
        <v>12946.8</v>
      </c>
    </row>
    <row r="39" spans="1:10">
      <c r="A39" s="3">
        <v>1038</v>
      </c>
      <c r="B39" s="4">
        <v>45696</v>
      </c>
      <c r="C39" s="3" t="s">
        <v>9</v>
      </c>
      <c r="D39" s="3" t="s">
        <v>10</v>
      </c>
      <c r="E39" s="3">
        <v>2</v>
      </c>
      <c r="F39" s="3">
        <v>55000</v>
      </c>
      <c r="G39" s="3" t="s">
        <v>18</v>
      </c>
      <c r="H39" s="11">
        <v>110000</v>
      </c>
      <c r="I39" s="3" t="str">
        <f t="shared" si="1"/>
        <v>Feb</v>
      </c>
      <c r="J39" s="3">
        <f>AVERAGE(A39:I39)</f>
        <v>42347.199999999997</v>
      </c>
    </row>
    <row r="40" spans="1:10">
      <c r="A40" s="3">
        <v>1039</v>
      </c>
      <c r="B40" s="4">
        <v>45697</v>
      </c>
      <c r="C40" s="3" t="s">
        <v>12</v>
      </c>
      <c r="D40" s="3" t="s">
        <v>10</v>
      </c>
      <c r="E40" s="3">
        <v>6</v>
      </c>
      <c r="F40" s="3">
        <v>800</v>
      </c>
      <c r="G40" s="3" t="s">
        <v>11</v>
      </c>
      <c r="H40" s="11">
        <v>4800</v>
      </c>
      <c r="I40" s="3" t="str">
        <f t="shared" si="1"/>
        <v>Feb</v>
      </c>
      <c r="J40" s="3">
        <f>AVERAGE(A40:I40)</f>
        <v>10468.4</v>
      </c>
    </row>
    <row r="41" spans="1:10">
      <c r="A41" s="3">
        <v>1040</v>
      </c>
      <c r="B41" s="4">
        <v>45698</v>
      </c>
      <c r="C41" s="3" t="s">
        <v>17</v>
      </c>
      <c r="D41" s="3" t="s">
        <v>15</v>
      </c>
      <c r="E41" s="3">
        <v>1</v>
      </c>
      <c r="F41" s="3">
        <v>12000</v>
      </c>
      <c r="G41" s="3" t="s">
        <v>13</v>
      </c>
      <c r="H41" s="11">
        <v>12000</v>
      </c>
      <c r="I41" s="3" t="str">
        <f t="shared" si="1"/>
        <v>Feb</v>
      </c>
      <c r="J41" s="3">
        <f>AVERAGE(A41:I41)</f>
        <v>14147.8</v>
      </c>
    </row>
    <row r="42" spans="1:10">
      <c r="A42" s="3">
        <v>1041</v>
      </c>
      <c r="B42" s="4">
        <v>45699</v>
      </c>
      <c r="C42" s="3" t="s">
        <v>19</v>
      </c>
      <c r="D42" s="3" t="s">
        <v>10</v>
      </c>
      <c r="E42" s="3">
        <v>3</v>
      </c>
      <c r="F42" s="3">
        <v>1500</v>
      </c>
      <c r="G42" s="3" t="s">
        <v>16</v>
      </c>
      <c r="H42" s="11">
        <v>4500</v>
      </c>
      <c r="I42" s="3" t="str">
        <f t="shared" si="1"/>
        <v>Feb</v>
      </c>
      <c r="J42" s="3">
        <f>AVERAGE(A42:I42)</f>
        <v>10548.6</v>
      </c>
    </row>
    <row r="43" spans="1:10">
      <c r="A43" s="3">
        <v>1042</v>
      </c>
      <c r="B43" s="4">
        <v>45700</v>
      </c>
      <c r="C43" s="3" t="s">
        <v>21</v>
      </c>
      <c r="D43" s="3" t="s">
        <v>10</v>
      </c>
      <c r="E43" s="3">
        <v>1</v>
      </c>
      <c r="F43" s="3">
        <v>18000</v>
      </c>
      <c r="G43" s="3" t="s">
        <v>18</v>
      </c>
      <c r="H43" s="11">
        <v>18000</v>
      </c>
      <c r="I43" s="3" t="str">
        <f t="shared" si="1"/>
        <v>Feb</v>
      </c>
      <c r="J43" s="3">
        <f>AVERAGE(A43:I43)</f>
        <v>16548.599999999999</v>
      </c>
    </row>
    <row r="44" spans="1:10">
      <c r="A44" s="3">
        <v>1043</v>
      </c>
      <c r="B44" s="4">
        <v>45701</v>
      </c>
      <c r="C44" s="3" t="s">
        <v>9</v>
      </c>
      <c r="D44" s="3" t="s">
        <v>10</v>
      </c>
      <c r="E44" s="3">
        <v>1</v>
      </c>
      <c r="F44" s="3">
        <v>55000</v>
      </c>
      <c r="G44" s="3" t="s">
        <v>11</v>
      </c>
      <c r="H44" s="11">
        <v>55000</v>
      </c>
      <c r="I44" s="3" t="str">
        <f t="shared" si="1"/>
        <v>Feb</v>
      </c>
      <c r="J44" s="3">
        <f>AVERAGE(A44:I44)</f>
        <v>31349</v>
      </c>
    </row>
    <row r="45" spans="1:10">
      <c r="A45" s="3">
        <v>1044</v>
      </c>
      <c r="B45" s="4">
        <v>45702</v>
      </c>
      <c r="C45" s="3" t="s">
        <v>14</v>
      </c>
      <c r="D45" s="3" t="s">
        <v>15</v>
      </c>
      <c r="E45" s="3">
        <v>2</v>
      </c>
      <c r="F45" s="3">
        <v>7500</v>
      </c>
      <c r="G45" s="3" t="s">
        <v>13</v>
      </c>
      <c r="H45" s="11">
        <v>15000</v>
      </c>
      <c r="I45" s="3" t="str">
        <f t="shared" si="1"/>
        <v>Feb</v>
      </c>
      <c r="J45" s="3">
        <f>AVERAGE(A45:I45)</f>
        <v>13849.6</v>
      </c>
    </row>
    <row r="46" spans="1:10">
      <c r="A46" s="3">
        <v>1045</v>
      </c>
      <c r="B46" s="4">
        <v>45703</v>
      </c>
      <c r="C46" s="3" t="s">
        <v>20</v>
      </c>
      <c r="D46" s="3" t="s">
        <v>15</v>
      </c>
      <c r="E46" s="3">
        <v>1</v>
      </c>
      <c r="F46" s="3">
        <v>6000</v>
      </c>
      <c r="G46" s="3" t="s">
        <v>16</v>
      </c>
      <c r="H46" s="11">
        <v>6000</v>
      </c>
      <c r="I46" s="3" t="str">
        <f t="shared" si="1"/>
        <v>Feb</v>
      </c>
      <c r="J46" s="3">
        <f>AVERAGE(A46:I46)</f>
        <v>11749.8</v>
      </c>
    </row>
    <row r="47" spans="1:10">
      <c r="A47" s="3">
        <v>1046</v>
      </c>
      <c r="B47" s="4">
        <v>45704</v>
      </c>
      <c r="C47" s="3" t="s">
        <v>12</v>
      </c>
      <c r="D47" s="3" t="s">
        <v>10</v>
      </c>
      <c r="E47" s="3">
        <v>4</v>
      </c>
      <c r="F47" s="3">
        <v>800</v>
      </c>
      <c r="G47" s="3" t="s">
        <v>18</v>
      </c>
      <c r="H47" s="11">
        <v>3200</v>
      </c>
      <c r="I47" s="3" t="str">
        <f t="shared" si="1"/>
        <v>Feb</v>
      </c>
      <c r="J47" s="3">
        <f>AVERAGE(A47:I47)</f>
        <v>10150.799999999999</v>
      </c>
    </row>
    <row r="48" spans="1:10">
      <c r="A48" s="3">
        <v>1047</v>
      </c>
      <c r="B48" s="4">
        <v>45705</v>
      </c>
      <c r="C48" s="3" t="s">
        <v>19</v>
      </c>
      <c r="D48" s="3" t="s">
        <v>10</v>
      </c>
      <c r="E48" s="3">
        <v>5</v>
      </c>
      <c r="F48" s="3">
        <v>1500</v>
      </c>
      <c r="G48" s="3" t="s">
        <v>11</v>
      </c>
      <c r="H48" s="11">
        <v>7500</v>
      </c>
      <c r="I48" s="3" t="str">
        <f t="shared" si="1"/>
        <v>Feb</v>
      </c>
      <c r="J48" s="3">
        <f>AVERAGE(A48:I48)</f>
        <v>11151.4</v>
      </c>
    </row>
    <row r="49" spans="1:10">
      <c r="A49" s="3">
        <v>1048</v>
      </c>
      <c r="B49" s="4">
        <v>45706</v>
      </c>
      <c r="C49" s="3" t="s">
        <v>21</v>
      </c>
      <c r="D49" s="3" t="s">
        <v>10</v>
      </c>
      <c r="E49" s="3">
        <v>2</v>
      </c>
      <c r="F49" s="3">
        <v>18000</v>
      </c>
      <c r="G49" s="3" t="s">
        <v>13</v>
      </c>
      <c r="H49" s="11">
        <v>36000</v>
      </c>
      <c r="I49" s="3" t="str">
        <f t="shared" si="1"/>
        <v>Feb</v>
      </c>
      <c r="J49" s="3">
        <f>AVERAGE(A49:I49)</f>
        <v>20151.2</v>
      </c>
    </row>
    <row r="50" spans="1:10">
      <c r="A50" s="3">
        <v>1049</v>
      </c>
      <c r="B50" s="4">
        <v>45707</v>
      </c>
      <c r="C50" s="3" t="s">
        <v>9</v>
      </c>
      <c r="D50" s="3" t="s">
        <v>10</v>
      </c>
      <c r="E50" s="3">
        <v>2</v>
      </c>
      <c r="F50" s="3">
        <v>55000</v>
      </c>
      <c r="G50" s="3" t="s">
        <v>16</v>
      </c>
      <c r="H50" s="11">
        <v>110000</v>
      </c>
      <c r="I50" s="3" t="str">
        <f t="shared" si="1"/>
        <v>Feb</v>
      </c>
      <c r="J50" s="3">
        <f>AVERAGE(A50:I50)</f>
        <v>42351.6</v>
      </c>
    </row>
    <row r="51" spans="1:10">
      <c r="A51" s="3">
        <v>1050</v>
      </c>
      <c r="B51" s="4">
        <v>45708</v>
      </c>
      <c r="C51" s="3" t="s">
        <v>17</v>
      </c>
      <c r="D51" s="3" t="s">
        <v>15</v>
      </c>
      <c r="E51" s="3">
        <v>1</v>
      </c>
      <c r="F51" s="3">
        <v>12000</v>
      </c>
      <c r="G51" s="3" t="s">
        <v>18</v>
      </c>
      <c r="H51" s="11">
        <v>12000</v>
      </c>
      <c r="I51" s="3" t="str">
        <f t="shared" si="1"/>
        <v>Feb</v>
      </c>
      <c r="J51" s="3">
        <f>AVERAGE(A51:I51)</f>
        <v>14151.8</v>
      </c>
    </row>
    <row r="52" spans="1:10">
      <c r="A52" s="3">
        <v>1051</v>
      </c>
      <c r="B52" s="4">
        <v>45709</v>
      </c>
      <c r="C52" s="3" t="s">
        <v>14</v>
      </c>
      <c r="D52" s="3" t="s">
        <v>15</v>
      </c>
      <c r="E52" s="3">
        <v>1</v>
      </c>
      <c r="F52" s="3">
        <v>7500</v>
      </c>
      <c r="G52" s="3" t="s">
        <v>11</v>
      </c>
      <c r="H52" s="11">
        <v>7500</v>
      </c>
      <c r="I52" s="3" t="str">
        <f t="shared" si="1"/>
        <v>Feb</v>
      </c>
      <c r="J52" s="3">
        <f>AVERAGE(A52:I52)</f>
        <v>12352.2</v>
      </c>
    </row>
    <row r="53" spans="1:10">
      <c r="A53" s="3">
        <v>1052</v>
      </c>
      <c r="B53" s="4">
        <v>45710</v>
      </c>
      <c r="C53" s="3" t="s">
        <v>12</v>
      </c>
      <c r="D53" s="3" t="s">
        <v>10</v>
      </c>
      <c r="E53" s="3">
        <v>5</v>
      </c>
      <c r="F53" s="3">
        <v>800</v>
      </c>
      <c r="G53" s="3" t="s">
        <v>13</v>
      </c>
      <c r="H53" s="11">
        <v>4000</v>
      </c>
      <c r="I53" s="3" t="str">
        <f t="shared" si="1"/>
        <v>Feb</v>
      </c>
      <c r="J53" s="3">
        <f>AVERAGE(A53:I53)</f>
        <v>10313.4</v>
      </c>
    </row>
    <row r="54" spans="1:10">
      <c r="A54" s="3">
        <v>1053</v>
      </c>
      <c r="B54" s="4">
        <v>45711</v>
      </c>
      <c r="C54" s="3" t="s">
        <v>19</v>
      </c>
      <c r="D54" s="3" t="s">
        <v>10</v>
      </c>
      <c r="E54" s="3">
        <v>2</v>
      </c>
      <c r="F54" s="3">
        <v>1500</v>
      </c>
      <c r="G54" s="3" t="s">
        <v>16</v>
      </c>
      <c r="H54" s="11">
        <v>3000</v>
      </c>
      <c r="I54" s="3" t="str">
        <f t="shared" si="1"/>
        <v>Feb</v>
      </c>
      <c r="J54" s="3">
        <f>AVERAGE(A54:I54)</f>
        <v>10253.200000000001</v>
      </c>
    </row>
    <row r="55" spans="1:10">
      <c r="A55" s="3">
        <v>1054</v>
      </c>
      <c r="B55" s="4">
        <v>45712</v>
      </c>
      <c r="C55" s="3" t="s">
        <v>21</v>
      </c>
      <c r="D55" s="3" t="s">
        <v>10</v>
      </c>
      <c r="E55" s="3">
        <v>3</v>
      </c>
      <c r="F55" s="3">
        <v>18000</v>
      </c>
      <c r="G55" s="3" t="s">
        <v>18</v>
      </c>
      <c r="H55" s="11">
        <v>54000</v>
      </c>
      <c r="I55" s="3" t="str">
        <f t="shared" si="1"/>
        <v>Feb</v>
      </c>
      <c r="J55" s="3">
        <f>AVERAGE(A55:I55)</f>
        <v>23753.8</v>
      </c>
    </row>
    <row r="56" spans="1:10">
      <c r="A56" s="3">
        <v>1055</v>
      </c>
      <c r="B56" s="4">
        <v>45713</v>
      </c>
      <c r="C56" s="3" t="s">
        <v>9</v>
      </c>
      <c r="D56" s="3" t="s">
        <v>10</v>
      </c>
      <c r="E56" s="3">
        <v>1</v>
      </c>
      <c r="F56" s="3">
        <v>55000</v>
      </c>
      <c r="G56" s="3" t="s">
        <v>11</v>
      </c>
      <c r="H56" s="11">
        <v>55000</v>
      </c>
      <c r="I56" s="3" t="str">
        <f t="shared" si="1"/>
        <v>Feb</v>
      </c>
      <c r="J56" s="3">
        <f>AVERAGE(A56:I56)</f>
        <v>31353.8</v>
      </c>
    </row>
    <row r="57" spans="1:10">
      <c r="A57" s="3">
        <v>1056</v>
      </c>
      <c r="B57" s="4">
        <v>45717</v>
      </c>
      <c r="C57" s="3" t="s">
        <v>9</v>
      </c>
      <c r="D57" s="3" t="s">
        <v>10</v>
      </c>
      <c r="E57" s="3">
        <v>1</v>
      </c>
      <c r="F57" s="3">
        <v>55000</v>
      </c>
      <c r="G57" s="3" t="s">
        <v>13</v>
      </c>
      <c r="H57" s="11">
        <v>55000</v>
      </c>
      <c r="I57" s="3" t="str">
        <f t="shared" si="1"/>
        <v>Mar</v>
      </c>
      <c r="J57" s="3">
        <f>AVERAGE(A57:I57)</f>
        <v>31354.799999999999</v>
      </c>
    </row>
    <row r="58" spans="1:10">
      <c r="A58" s="3">
        <v>1057</v>
      </c>
      <c r="B58" s="4">
        <v>45718</v>
      </c>
      <c r="C58" s="3" t="s">
        <v>12</v>
      </c>
      <c r="D58" s="3" t="s">
        <v>10</v>
      </c>
      <c r="E58" s="3">
        <v>7</v>
      </c>
      <c r="F58" s="3">
        <v>800</v>
      </c>
      <c r="G58" s="3" t="s">
        <v>11</v>
      </c>
      <c r="H58" s="11">
        <v>5600</v>
      </c>
      <c r="I58" s="3" t="str">
        <f t="shared" si="1"/>
        <v>Mar</v>
      </c>
      <c r="J58" s="3">
        <f>AVERAGE(A58:I58)</f>
        <v>10636.4</v>
      </c>
    </row>
    <row r="59" spans="1:10">
      <c r="A59" s="3">
        <v>1058</v>
      </c>
      <c r="B59" s="4">
        <v>45719</v>
      </c>
      <c r="C59" s="3" t="s">
        <v>21</v>
      </c>
      <c r="D59" s="3" t="s">
        <v>10</v>
      </c>
      <c r="E59" s="3">
        <v>2</v>
      </c>
      <c r="F59" s="3">
        <v>18000</v>
      </c>
      <c r="G59" s="3" t="s">
        <v>16</v>
      </c>
      <c r="H59" s="11">
        <v>36000</v>
      </c>
      <c r="I59" s="3" t="str">
        <f t="shared" si="1"/>
        <v>Mar</v>
      </c>
      <c r="J59" s="3">
        <f>AVERAGE(A59:I59)</f>
        <v>20155.8</v>
      </c>
    </row>
    <row r="60" spans="1:10">
      <c r="A60" s="3">
        <v>1059</v>
      </c>
      <c r="B60" s="4">
        <v>45720</v>
      </c>
      <c r="C60" s="3" t="s">
        <v>17</v>
      </c>
      <c r="D60" s="3" t="s">
        <v>15</v>
      </c>
      <c r="E60" s="3">
        <v>1</v>
      </c>
      <c r="F60" s="3">
        <v>12000</v>
      </c>
      <c r="G60" s="3" t="s">
        <v>18</v>
      </c>
      <c r="H60" s="11">
        <v>12000</v>
      </c>
      <c r="I60" s="3" t="str">
        <f t="shared" si="1"/>
        <v>Mar</v>
      </c>
      <c r="J60" s="3">
        <f>AVERAGE(A60:I60)</f>
        <v>14156</v>
      </c>
    </row>
    <row r="61" spans="1:10">
      <c r="A61" s="3">
        <v>1060</v>
      </c>
      <c r="B61" s="4">
        <v>45721</v>
      </c>
      <c r="C61" s="3" t="s">
        <v>19</v>
      </c>
      <c r="D61" s="3" t="s">
        <v>10</v>
      </c>
      <c r="E61" s="3">
        <v>4</v>
      </c>
      <c r="F61" s="3">
        <v>1500</v>
      </c>
      <c r="G61" s="3" t="s">
        <v>13</v>
      </c>
      <c r="H61" s="11">
        <v>6000</v>
      </c>
      <c r="I61" s="3" t="str">
        <f t="shared" si="1"/>
        <v>Mar</v>
      </c>
      <c r="J61" s="3">
        <f>AVERAGE(A61:I61)</f>
        <v>10857</v>
      </c>
    </row>
    <row r="62" spans="1:10">
      <c r="A62" s="3">
        <v>1061</v>
      </c>
      <c r="B62" s="4">
        <v>45722</v>
      </c>
      <c r="C62" s="3" t="s">
        <v>14</v>
      </c>
      <c r="D62" s="3" t="s">
        <v>15</v>
      </c>
      <c r="E62" s="3">
        <v>2</v>
      </c>
      <c r="F62" s="3">
        <v>7500</v>
      </c>
      <c r="G62" s="3" t="s">
        <v>11</v>
      </c>
      <c r="H62" s="11">
        <v>15000</v>
      </c>
      <c r="I62" s="3" t="str">
        <f t="shared" si="1"/>
        <v>Mar</v>
      </c>
      <c r="J62" s="3">
        <f>AVERAGE(A62:I62)</f>
        <v>13857</v>
      </c>
    </row>
    <row r="63" spans="1:10">
      <c r="A63" s="3">
        <v>1062</v>
      </c>
      <c r="B63" s="4">
        <v>45723</v>
      </c>
      <c r="C63" s="3" t="s">
        <v>20</v>
      </c>
      <c r="D63" s="3" t="s">
        <v>15</v>
      </c>
      <c r="E63" s="3">
        <v>1</v>
      </c>
      <c r="F63" s="3">
        <v>6000</v>
      </c>
      <c r="G63" s="3" t="s">
        <v>16</v>
      </c>
      <c r="H63" s="11">
        <v>6000</v>
      </c>
      <c r="I63" s="3" t="str">
        <f t="shared" si="1"/>
        <v>Mar</v>
      </c>
      <c r="J63" s="3">
        <f>AVERAGE(A63:I63)</f>
        <v>11757.2</v>
      </c>
    </row>
    <row r="64" spans="1:10">
      <c r="A64" s="3">
        <v>1063</v>
      </c>
      <c r="B64" s="4">
        <v>45724</v>
      </c>
      <c r="C64" s="3" t="s">
        <v>9</v>
      </c>
      <c r="D64" s="3" t="s">
        <v>10</v>
      </c>
      <c r="E64" s="3">
        <v>2</v>
      </c>
      <c r="F64" s="3">
        <v>55000</v>
      </c>
      <c r="G64" s="3" t="s">
        <v>18</v>
      </c>
      <c r="H64" s="11">
        <v>110000</v>
      </c>
      <c r="I64" s="3" t="str">
        <f t="shared" si="1"/>
        <v>Mar</v>
      </c>
      <c r="J64" s="3">
        <f>AVERAGE(A64:I64)</f>
        <v>42357.8</v>
      </c>
    </row>
    <row r="65" spans="1:10">
      <c r="A65" s="3">
        <v>1064</v>
      </c>
      <c r="B65" s="4">
        <v>45725</v>
      </c>
      <c r="C65" s="3" t="s">
        <v>12</v>
      </c>
      <c r="D65" s="3" t="s">
        <v>10</v>
      </c>
      <c r="E65" s="3">
        <v>5</v>
      </c>
      <c r="F65" s="3">
        <v>800</v>
      </c>
      <c r="G65" s="3" t="s">
        <v>13</v>
      </c>
      <c r="H65" s="11">
        <v>4000</v>
      </c>
      <c r="I65" s="3" t="str">
        <f t="shared" si="1"/>
        <v>Mar</v>
      </c>
      <c r="J65" s="3">
        <f>AVERAGE(A65:I65)</f>
        <v>10318.799999999999</v>
      </c>
    </row>
    <row r="66" spans="1:10">
      <c r="A66" s="3">
        <v>1065</v>
      </c>
      <c r="B66" s="4">
        <v>45726</v>
      </c>
      <c r="C66" s="3" t="s">
        <v>21</v>
      </c>
      <c r="D66" s="3" t="s">
        <v>10</v>
      </c>
      <c r="E66" s="3">
        <v>1</v>
      </c>
      <c r="F66" s="3">
        <v>18000</v>
      </c>
      <c r="G66" s="3" t="s">
        <v>11</v>
      </c>
      <c r="H66" s="11">
        <v>18000</v>
      </c>
      <c r="I66" s="3" t="str">
        <f t="shared" si="1"/>
        <v>Mar</v>
      </c>
      <c r="J66" s="3">
        <f>AVERAGE(A66:I66)</f>
        <v>16558.400000000001</v>
      </c>
    </row>
    <row r="67" spans="1:10">
      <c r="A67" s="3">
        <v>1066</v>
      </c>
      <c r="B67" s="4">
        <v>45727</v>
      </c>
      <c r="C67" s="3" t="s">
        <v>17</v>
      </c>
      <c r="D67" s="3" t="s">
        <v>15</v>
      </c>
      <c r="E67" s="3">
        <v>2</v>
      </c>
      <c r="F67" s="3">
        <v>12000</v>
      </c>
      <c r="G67" s="3" t="s">
        <v>16</v>
      </c>
      <c r="H67" s="11">
        <v>24000</v>
      </c>
      <c r="I67" s="3" t="str">
        <f t="shared" ref="I67:I96" si="2">TEXT(B67,"mmm")</f>
        <v>Mar</v>
      </c>
      <c r="J67" s="3">
        <f>AVERAGE(A67:I67)</f>
        <v>16559</v>
      </c>
    </row>
    <row r="68" spans="1:10">
      <c r="A68" s="3">
        <v>1067</v>
      </c>
      <c r="B68" s="4">
        <v>45728</v>
      </c>
      <c r="C68" s="3" t="s">
        <v>19</v>
      </c>
      <c r="D68" s="3" t="s">
        <v>10</v>
      </c>
      <c r="E68" s="3">
        <v>3</v>
      </c>
      <c r="F68" s="3">
        <v>1500</v>
      </c>
      <c r="G68" s="3" t="s">
        <v>18</v>
      </c>
      <c r="H68" s="11">
        <v>4500</v>
      </c>
      <c r="I68" s="3" t="str">
        <f t="shared" si="2"/>
        <v>Mar</v>
      </c>
      <c r="J68" s="3">
        <f>AVERAGE(A68:I68)</f>
        <v>10559.6</v>
      </c>
    </row>
    <row r="69" spans="1:10">
      <c r="A69" s="3">
        <v>1068</v>
      </c>
      <c r="B69" s="4">
        <v>45729</v>
      </c>
      <c r="C69" s="3" t="s">
        <v>9</v>
      </c>
      <c r="D69" s="3" t="s">
        <v>10</v>
      </c>
      <c r="E69" s="3">
        <v>1</v>
      </c>
      <c r="F69" s="3">
        <v>55000</v>
      </c>
      <c r="G69" s="3" t="s">
        <v>11</v>
      </c>
      <c r="H69" s="11">
        <v>55000</v>
      </c>
      <c r="I69" s="3" t="str">
        <f t="shared" si="2"/>
        <v>Mar</v>
      </c>
      <c r="J69" s="3">
        <f>AVERAGE(A69:I69)</f>
        <v>31359.599999999999</v>
      </c>
    </row>
    <row r="70" spans="1:10">
      <c r="A70" s="3">
        <v>1069</v>
      </c>
      <c r="B70" s="4">
        <v>45730</v>
      </c>
      <c r="C70" s="3" t="s">
        <v>14</v>
      </c>
      <c r="D70" s="3" t="s">
        <v>15</v>
      </c>
      <c r="E70" s="3">
        <v>1</v>
      </c>
      <c r="F70" s="3">
        <v>7500</v>
      </c>
      <c r="G70" s="3" t="s">
        <v>13</v>
      </c>
      <c r="H70" s="11">
        <v>7500</v>
      </c>
      <c r="I70" s="3" t="str">
        <f t="shared" si="2"/>
        <v>Mar</v>
      </c>
      <c r="J70" s="3">
        <f>AVERAGE(A70:I70)</f>
        <v>12360</v>
      </c>
    </row>
    <row r="71" spans="1:10">
      <c r="A71" s="3">
        <v>1070</v>
      </c>
      <c r="B71" s="4">
        <v>45731</v>
      </c>
      <c r="C71" s="3" t="s">
        <v>20</v>
      </c>
      <c r="D71" s="3" t="s">
        <v>15</v>
      </c>
      <c r="E71" s="3">
        <v>2</v>
      </c>
      <c r="F71" s="3">
        <v>6000</v>
      </c>
      <c r="G71" s="3" t="s">
        <v>18</v>
      </c>
      <c r="H71" s="11">
        <v>12000</v>
      </c>
      <c r="I71" s="3" t="str">
        <f t="shared" si="2"/>
        <v>Mar</v>
      </c>
      <c r="J71" s="3">
        <f>AVERAGE(A71:I71)</f>
        <v>12960.6</v>
      </c>
    </row>
    <row r="72" spans="1:10">
      <c r="A72" s="3">
        <v>1071</v>
      </c>
      <c r="B72" s="4">
        <v>45732</v>
      </c>
      <c r="C72" s="3" t="s">
        <v>12</v>
      </c>
      <c r="D72" s="3" t="s">
        <v>10</v>
      </c>
      <c r="E72" s="3">
        <v>6</v>
      </c>
      <c r="F72" s="3">
        <v>800</v>
      </c>
      <c r="G72" s="3" t="s">
        <v>16</v>
      </c>
      <c r="H72" s="11">
        <v>4800</v>
      </c>
      <c r="I72" s="3" t="str">
        <f t="shared" si="2"/>
        <v>Mar</v>
      </c>
      <c r="J72" s="3">
        <f>AVERAGE(A72:I72)</f>
        <v>10481.799999999999</v>
      </c>
    </row>
    <row r="73" spans="1:10">
      <c r="A73" s="3">
        <v>1072</v>
      </c>
      <c r="B73" s="4">
        <v>45733</v>
      </c>
      <c r="C73" s="3" t="s">
        <v>21</v>
      </c>
      <c r="D73" s="3" t="s">
        <v>10</v>
      </c>
      <c r="E73" s="3">
        <v>3</v>
      </c>
      <c r="F73" s="3">
        <v>18000</v>
      </c>
      <c r="G73" s="3" t="s">
        <v>13</v>
      </c>
      <c r="H73" s="11">
        <v>54000</v>
      </c>
      <c r="I73" s="3" t="str">
        <f t="shared" si="2"/>
        <v>Mar</v>
      </c>
      <c r="J73" s="3">
        <f>AVERAGE(A73:I73)</f>
        <v>23761.599999999999</v>
      </c>
    </row>
    <row r="74" spans="1:10">
      <c r="A74" s="3">
        <v>1073</v>
      </c>
      <c r="B74" s="4">
        <v>45734</v>
      </c>
      <c r="C74" s="3" t="s">
        <v>19</v>
      </c>
      <c r="D74" s="3" t="s">
        <v>10</v>
      </c>
      <c r="E74" s="3">
        <v>5</v>
      </c>
      <c r="F74" s="3">
        <v>1500</v>
      </c>
      <c r="G74" s="3" t="s">
        <v>11</v>
      </c>
      <c r="H74" s="11">
        <v>7500</v>
      </c>
      <c r="I74" s="3" t="str">
        <f t="shared" si="2"/>
        <v>Mar</v>
      </c>
      <c r="J74" s="3">
        <f>AVERAGE(A74:I74)</f>
        <v>11162.4</v>
      </c>
    </row>
    <row r="75" spans="1:10">
      <c r="A75" s="3">
        <v>1074</v>
      </c>
      <c r="B75" s="4">
        <v>45735</v>
      </c>
      <c r="C75" s="3" t="s">
        <v>9</v>
      </c>
      <c r="D75" s="3" t="s">
        <v>10</v>
      </c>
      <c r="E75" s="3">
        <v>2</v>
      </c>
      <c r="F75" s="3">
        <v>55000</v>
      </c>
      <c r="G75" s="3" t="s">
        <v>16</v>
      </c>
      <c r="H75" s="11">
        <v>110000</v>
      </c>
      <c r="I75" s="3" t="str">
        <f t="shared" si="2"/>
        <v>Mar</v>
      </c>
      <c r="J75" s="3">
        <f>AVERAGE(A75:I75)</f>
        <v>42362.2</v>
      </c>
    </row>
    <row r="76" spans="1:10">
      <c r="A76" s="3">
        <v>1075</v>
      </c>
      <c r="B76" s="4">
        <v>45736</v>
      </c>
      <c r="C76" s="3" t="s">
        <v>17</v>
      </c>
      <c r="D76" s="3" t="s">
        <v>15</v>
      </c>
      <c r="E76" s="3">
        <v>1</v>
      </c>
      <c r="F76" s="3">
        <v>12000</v>
      </c>
      <c r="G76" s="3" t="s">
        <v>18</v>
      </c>
      <c r="H76" s="11">
        <v>12000</v>
      </c>
      <c r="I76" s="3" t="str">
        <f t="shared" si="2"/>
        <v>Mar</v>
      </c>
      <c r="J76" s="3">
        <f>AVERAGE(A76:I76)</f>
        <v>14162.4</v>
      </c>
    </row>
    <row r="77" spans="1:10">
      <c r="A77" s="3">
        <v>1076</v>
      </c>
      <c r="B77" s="4">
        <v>45748</v>
      </c>
      <c r="C77" s="3" t="s">
        <v>9</v>
      </c>
      <c r="D77" s="3" t="s">
        <v>10</v>
      </c>
      <c r="E77" s="3">
        <v>1</v>
      </c>
      <c r="F77" s="3">
        <v>55000</v>
      </c>
      <c r="G77" s="3" t="s">
        <v>11</v>
      </c>
      <c r="H77" s="11">
        <v>55000</v>
      </c>
      <c r="I77" s="3" t="str">
        <f t="shared" si="2"/>
        <v>Apr</v>
      </c>
      <c r="J77" s="3">
        <f>AVERAGE(A77:I77)</f>
        <v>31365</v>
      </c>
    </row>
    <row r="78" spans="1:10">
      <c r="A78" s="3">
        <v>1077</v>
      </c>
      <c r="B78" s="4">
        <v>45749</v>
      </c>
      <c r="C78" s="3" t="s">
        <v>21</v>
      </c>
      <c r="D78" s="3" t="s">
        <v>10</v>
      </c>
      <c r="E78" s="3">
        <v>2</v>
      </c>
      <c r="F78" s="3">
        <v>18000</v>
      </c>
      <c r="G78" s="3" t="s">
        <v>13</v>
      </c>
      <c r="H78" s="11">
        <v>36000</v>
      </c>
      <c r="I78" s="3" t="str">
        <f t="shared" si="2"/>
        <v>Apr</v>
      </c>
      <c r="J78" s="3">
        <f>AVERAGE(A78:I78)</f>
        <v>20165.599999999999</v>
      </c>
    </row>
    <row r="79" spans="1:10">
      <c r="A79" s="3">
        <v>1078</v>
      </c>
      <c r="B79" s="4">
        <v>45750</v>
      </c>
      <c r="C79" s="3" t="s">
        <v>12</v>
      </c>
      <c r="D79" s="3" t="s">
        <v>10</v>
      </c>
      <c r="E79" s="3">
        <v>8</v>
      </c>
      <c r="F79" s="3">
        <v>800</v>
      </c>
      <c r="G79" s="3" t="s">
        <v>16</v>
      </c>
      <c r="H79" s="11">
        <v>6400</v>
      </c>
      <c r="I79" s="3" t="str">
        <f t="shared" si="2"/>
        <v>Apr</v>
      </c>
      <c r="J79" s="3">
        <f>AVERAGE(A79:I79)</f>
        <v>10807.2</v>
      </c>
    </row>
    <row r="80" spans="1:10">
      <c r="A80" s="3">
        <v>1079</v>
      </c>
      <c r="B80" s="4">
        <v>45751</v>
      </c>
      <c r="C80" s="3" t="s">
        <v>17</v>
      </c>
      <c r="D80" s="3" t="s">
        <v>15</v>
      </c>
      <c r="E80" s="3">
        <v>1</v>
      </c>
      <c r="F80" s="3">
        <v>12000</v>
      </c>
      <c r="G80" s="3" t="s">
        <v>18</v>
      </c>
      <c r="H80" s="11">
        <v>12000</v>
      </c>
      <c r="I80" s="3" t="str">
        <f t="shared" si="2"/>
        <v>Apr</v>
      </c>
      <c r="J80" s="3">
        <f>AVERAGE(A80:I80)</f>
        <v>14166.2</v>
      </c>
    </row>
    <row r="81" spans="1:25">
      <c r="A81" s="3">
        <v>1080</v>
      </c>
      <c r="B81" s="4">
        <v>45752</v>
      </c>
      <c r="C81" s="3" t="s">
        <v>19</v>
      </c>
      <c r="D81" s="3" t="s">
        <v>10</v>
      </c>
      <c r="E81" s="3">
        <v>4</v>
      </c>
      <c r="F81" s="3">
        <v>1500</v>
      </c>
      <c r="G81" s="3" t="s">
        <v>11</v>
      </c>
      <c r="H81" s="11">
        <v>6000</v>
      </c>
      <c r="I81" s="3" t="str">
        <f t="shared" si="2"/>
        <v>Apr</v>
      </c>
      <c r="J81" s="3">
        <f>AVERAGE(A81:I81)</f>
        <v>10867.2</v>
      </c>
    </row>
    <row r="82" spans="1:25">
      <c r="A82" s="3">
        <v>1081</v>
      </c>
      <c r="B82" s="4">
        <v>45753</v>
      </c>
      <c r="C82" s="3" t="s">
        <v>14</v>
      </c>
      <c r="D82" s="3" t="s">
        <v>15</v>
      </c>
      <c r="E82" s="3">
        <v>2</v>
      </c>
      <c r="F82" s="3">
        <v>7500</v>
      </c>
      <c r="G82" s="3" t="s">
        <v>13</v>
      </c>
      <c r="H82" s="11">
        <v>15000</v>
      </c>
      <c r="I82" s="3" t="str">
        <f t="shared" si="2"/>
        <v>Apr</v>
      </c>
      <c r="J82" s="3">
        <f>AVERAGE(A82:I82)</f>
        <v>13867.2</v>
      </c>
    </row>
    <row r="83" spans="1:25">
      <c r="A83" s="3">
        <v>1082</v>
      </c>
      <c r="B83" s="4">
        <v>45754</v>
      </c>
      <c r="C83" s="3" t="s">
        <v>20</v>
      </c>
      <c r="D83" s="3" t="s">
        <v>15</v>
      </c>
      <c r="E83" s="3">
        <v>1</v>
      </c>
      <c r="F83" s="3">
        <v>6000</v>
      </c>
      <c r="G83" s="3" t="s">
        <v>16</v>
      </c>
      <c r="H83" s="11">
        <v>6000</v>
      </c>
      <c r="I83" s="3" t="str">
        <f t="shared" si="2"/>
        <v>Apr</v>
      </c>
      <c r="J83" s="3">
        <f>AVERAGE(A83:I83)</f>
        <v>11767.4</v>
      </c>
      <c r="Y83" s="10"/>
    </row>
    <row r="84" spans="1:25">
      <c r="A84" s="3">
        <v>1083</v>
      </c>
      <c r="B84" s="4">
        <v>45755</v>
      </c>
      <c r="C84" s="3" t="s">
        <v>9</v>
      </c>
      <c r="D84" s="3" t="s">
        <v>10</v>
      </c>
      <c r="E84" s="3">
        <v>2</v>
      </c>
      <c r="F84" s="3">
        <v>55000</v>
      </c>
      <c r="G84" s="3" t="s">
        <v>18</v>
      </c>
      <c r="H84" s="11">
        <v>110000</v>
      </c>
      <c r="I84" s="3" t="str">
        <f t="shared" si="2"/>
        <v>Apr</v>
      </c>
      <c r="J84" s="3">
        <f>AVERAGE(A84:I84)</f>
        <v>42368</v>
      </c>
    </row>
    <row r="85" spans="1:25">
      <c r="A85" s="3">
        <v>1084</v>
      </c>
      <c r="B85" s="4">
        <v>45756</v>
      </c>
      <c r="C85" s="3" t="s">
        <v>21</v>
      </c>
      <c r="D85" s="3" t="s">
        <v>10</v>
      </c>
      <c r="E85" s="3">
        <v>1</v>
      </c>
      <c r="F85" s="3">
        <v>18000</v>
      </c>
      <c r="G85" s="3" t="s">
        <v>11</v>
      </c>
      <c r="H85" s="11">
        <v>18000</v>
      </c>
      <c r="I85" s="3" t="str">
        <f t="shared" si="2"/>
        <v>Apr</v>
      </c>
      <c r="J85" s="3">
        <f>AVERAGE(A85:I85)</f>
        <v>16568.2</v>
      </c>
    </row>
    <row r="86" spans="1:25">
      <c r="A86" s="3">
        <v>1085</v>
      </c>
      <c r="B86" s="4">
        <v>45757</v>
      </c>
      <c r="C86" s="3" t="s">
        <v>12</v>
      </c>
      <c r="D86" s="3" t="s">
        <v>10</v>
      </c>
      <c r="E86" s="3">
        <v>6</v>
      </c>
      <c r="F86" s="3">
        <v>800</v>
      </c>
      <c r="G86" s="3" t="s">
        <v>13</v>
      </c>
      <c r="H86" s="11">
        <v>4800</v>
      </c>
      <c r="I86" s="3" t="str">
        <f t="shared" si="2"/>
        <v>Apr</v>
      </c>
      <c r="J86" s="3">
        <f>AVERAGE(A86:I86)</f>
        <v>10489.6</v>
      </c>
    </row>
    <row r="87" spans="1:25">
      <c r="A87" s="3">
        <v>1086</v>
      </c>
      <c r="B87" s="4">
        <v>45758</v>
      </c>
      <c r="C87" s="3" t="s">
        <v>17</v>
      </c>
      <c r="D87" s="3" t="s">
        <v>15</v>
      </c>
      <c r="E87" s="3">
        <v>2</v>
      </c>
      <c r="F87" s="3">
        <v>12000</v>
      </c>
      <c r="G87" s="3" t="s">
        <v>16</v>
      </c>
      <c r="H87" s="11">
        <v>24000</v>
      </c>
      <c r="I87" s="3" t="str">
        <f t="shared" si="2"/>
        <v>Apr</v>
      </c>
      <c r="J87" s="3">
        <f>AVERAGE(A87:I87)</f>
        <v>16569.2</v>
      </c>
    </row>
    <row r="88" spans="1:25">
      <c r="A88" s="3">
        <v>1087</v>
      </c>
      <c r="B88" s="4">
        <v>45759</v>
      </c>
      <c r="C88" s="3" t="s">
        <v>19</v>
      </c>
      <c r="D88" s="3" t="s">
        <v>10</v>
      </c>
      <c r="E88" s="3">
        <v>5</v>
      </c>
      <c r="F88" s="3">
        <v>1500</v>
      </c>
      <c r="G88" s="3" t="s">
        <v>18</v>
      </c>
      <c r="H88" s="11">
        <v>7500</v>
      </c>
      <c r="I88" s="3" t="str">
        <f t="shared" si="2"/>
        <v>Apr</v>
      </c>
      <c r="J88" s="3">
        <f>AVERAGE(A88:I88)</f>
        <v>11170.2</v>
      </c>
    </row>
    <row r="89" spans="1:25">
      <c r="A89" s="3">
        <v>1088</v>
      </c>
      <c r="B89" s="4">
        <v>45760</v>
      </c>
      <c r="C89" s="3" t="s">
        <v>9</v>
      </c>
      <c r="D89" s="3" t="s">
        <v>10</v>
      </c>
      <c r="E89" s="3">
        <v>1</v>
      </c>
      <c r="F89" s="3">
        <v>55000</v>
      </c>
      <c r="G89" s="3" t="s">
        <v>13</v>
      </c>
      <c r="H89" s="11">
        <v>55000</v>
      </c>
      <c r="I89" s="3" t="str">
        <f t="shared" si="2"/>
        <v>Apr</v>
      </c>
      <c r="J89" s="3">
        <f>AVERAGE(A89:I89)</f>
        <v>31369.8</v>
      </c>
    </row>
    <row r="90" spans="1:25">
      <c r="A90" s="3">
        <v>1089</v>
      </c>
      <c r="B90" s="4">
        <v>45761</v>
      </c>
      <c r="C90" s="3" t="s">
        <v>14</v>
      </c>
      <c r="D90" s="3" t="s">
        <v>15</v>
      </c>
      <c r="E90" s="3">
        <v>1</v>
      </c>
      <c r="F90" s="3">
        <v>7500</v>
      </c>
      <c r="G90" s="3" t="s">
        <v>11</v>
      </c>
      <c r="H90" s="11">
        <v>7500</v>
      </c>
      <c r="I90" s="3" t="str">
        <f t="shared" si="2"/>
        <v>Apr</v>
      </c>
      <c r="J90" s="3">
        <f>AVERAGE(A90:I90)</f>
        <v>12370.2</v>
      </c>
    </row>
    <row r="91" spans="1:25">
      <c r="A91" s="3">
        <v>1090</v>
      </c>
      <c r="B91" s="4">
        <v>45762</v>
      </c>
      <c r="C91" s="3" t="s">
        <v>20</v>
      </c>
      <c r="D91" s="3" t="s">
        <v>15</v>
      </c>
      <c r="E91" s="3">
        <v>2</v>
      </c>
      <c r="F91" s="3">
        <v>6000</v>
      </c>
      <c r="G91" s="3" t="s">
        <v>18</v>
      </c>
      <c r="H91" s="11">
        <v>12000</v>
      </c>
      <c r="I91" s="3" t="str">
        <f t="shared" si="2"/>
        <v>Apr</v>
      </c>
      <c r="J91" s="3">
        <f>AVERAGE(A91:I91)</f>
        <v>12970.8</v>
      </c>
    </row>
    <row r="92" spans="1:25">
      <c r="A92" s="3">
        <v>1091</v>
      </c>
      <c r="B92" s="4">
        <v>45763</v>
      </c>
      <c r="C92" s="3" t="s">
        <v>12</v>
      </c>
      <c r="D92" s="3" t="s">
        <v>10</v>
      </c>
      <c r="E92" s="3">
        <v>7</v>
      </c>
      <c r="F92" s="3">
        <v>800</v>
      </c>
      <c r="G92" s="3" t="s">
        <v>16</v>
      </c>
      <c r="H92" s="11">
        <v>5600</v>
      </c>
      <c r="I92" s="3" t="str">
        <f t="shared" si="2"/>
        <v>Apr</v>
      </c>
      <c r="J92" s="3">
        <f>AVERAGE(A92:I92)</f>
        <v>10652.2</v>
      </c>
    </row>
    <row r="93" spans="1:25">
      <c r="A93" s="3">
        <v>1092</v>
      </c>
      <c r="B93" s="4">
        <v>45764</v>
      </c>
      <c r="C93" s="3" t="s">
        <v>21</v>
      </c>
      <c r="D93" s="3" t="s">
        <v>10</v>
      </c>
      <c r="E93" s="3">
        <v>3</v>
      </c>
      <c r="F93" s="3">
        <v>18000</v>
      </c>
      <c r="G93" s="3" t="s">
        <v>13</v>
      </c>
      <c r="H93" s="11">
        <v>54000</v>
      </c>
      <c r="I93" s="3" t="str">
        <f t="shared" si="2"/>
        <v>Apr</v>
      </c>
      <c r="J93" s="3">
        <f>AVERAGE(A93:I93)</f>
        <v>23771.8</v>
      </c>
    </row>
    <row r="94" spans="1:25">
      <c r="A94" s="3">
        <v>1093</v>
      </c>
      <c r="B94" s="4">
        <v>45765</v>
      </c>
      <c r="C94" s="3" t="s">
        <v>19</v>
      </c>
      <c r="D94" s="3" t="s">
        <v>10</v>
      </c>
      <c r="E94" s="3">
        <v>3</v>
      </c>
      <c r="F94" s="3">
        <v>1500</v>
      </c>
      <c r="G94" s="3" t="s">
        <v>11</v>
      </c>
      <c r="H94" s="11">
        <v>4500</v>
      </c>
      <c r="I94" s="3" t="str">
        <f t="shared" si="2"/>
        <v>Apr</v>
      </c>
      <c r="J94" s="3">
        <f>AVERAGE(A94:I94)</f>
        <v>10572.2</v>
      </c>
    </row>
    <row r="95" spans="1:25">
      <c r="A95" s="3">
        <v>1094</v>
      </c>
      <c r="B95" s="4">
        <v>45766</v>
      </c>
      <c r="C95" s="3" t="s">
        <v>9</v>
      </c>
      <c r="D95" s="3" t="s">
        <v>10</v>
      </c>
      <c r="E95" s="3">
        <v>2</v>
      </c>
      <c r="F95" s="3">
        <v>55000</v>
      </c>
      <c r="G95" s="3" t="s">
        <v>16</v>
      </c>
      <c r="H95" s="11">
        <v>110000</v>
      </c>
      <c r="I95" s="3" t="str">
        <f t="shared" si="2"/>
        <v>Apr</v>
      </c>
      <c r="J95" s="3">
        <f>AVERAGE(A95:I95)</f>
        <v>42372.4</v>
      </c>
    </row>
    <row r="96" spans="1:25">
      <c r="A96" s="3">
        <v>1095</v>
      </c>
      <c r="B96" s="4">
        <v>45767</v>
      </c>
      <c r="C96" s="3" t="s">
        <v>17</v>
      </c>
      <c r="D96" s="3" t="s">
        <v>15</v>
      </c>
      <c r="E96" s="3">
        <v>1</v>
      </c>
      <c r="F96" s="3">
        <v>12000</v>
      </c>
      <c r="G96" s="3" t="s">
        <v>18</v>
      </c>
      <c r="H96" s="11">
        <v>12000</v>
      </c>
      <c r="I96" s="3" t="str">
        <f t="shared" si="2"/>
        <v>Apr</v>
      </c>
      <c r="J96" s="3">
        <f>AVERAGE(A96:I96)</f>
        <v>14172.6</v>
      </c>
    </row>
    <row r="1048576" spans="1:10">
      <c r="A1048576">
        <f>AVERAGE(A2:A1048575)</f>
        <v>1048</v>
      </c>
      <c r="E1048576">
        <f>AVERAGE(E2:E1048575)</f>
        <v>2.4736842105263159</v>
      </c>
      <c r="F1048576">
        <f>AVERAGE(F2:F1048575)</f>
        <v>17078.947368421053</v>
      </c>
      <c r="H1048576">
        <f>AVERAGE(H2:H1048575)</f>
        <v>27172.63157894737</v>
      </c>
      <c r="J1048576">
        <f>AVERAGE(A1048576:I1048576)</f>
        <v>11325.513157894737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C933-3C05-4F94-8C4B-A2EE3DF9A996}">
  <dimension ref="G4:H8"/>
  <sheetViews>
    <sheetView showGridLines="0" tabSelected="1" workbookViewId="0">
      <selection activeCell="M32" sqref="M32"/>
    </sheetView>
  </sheetViews>
  <sheetFormatPr defaultRowHeight="15"/>
  <cols>
    <col min="1" max="1" width="18.42578125" customWidth="1"/>
    <col min="2" max="2" width="23.5703125" customWidth="1"/>
    <col min="3" max="3" width="17.42578125" customWidth="1"/>
    <col min="7" max="8" width="15.5703125" customWidth="1"/>
  </cols>
  <sheetData>
    <row r="4" spans="7:8">
      <c r="G4" s="2" t="s">
        <v>36</v>
      </c>
      <c r="H4" s="2" t="s">
        <v>37</v>
      </c>
    </row>
    <row r="5" spans="7:8">
      <c r="G5" t="s">
        <v>38</v>
      </c>
      <c r="H5" s="13">
        <f>SUM(RawData!H:H)</f>
        <v>2581400</v>
      </c>
    </row>
    <row r="6" spans="7:8">
      <c r="G6" t="s">
        <v>39</v>
      </c>
      <c r="H6" s="13">
        <f>COUNTA(RawData!A:A)-1</f>
        <v>95</v>
      </c>
    </row>
    <row r="7" spans="7:8">
      <c r="G7" t="s">
        <v>40</v>
      </c>
      <c r="H7" s="13" t="s">
        <v>9</v>
      </c>
    </row>
    <row r="8" spans="7:8">
      <c r="G8" t="s">
        <v>41</v>
      </c>
      <c r="H8" s="13" t="s">
        <v>16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2026-06-24T12:11:29Z</dcterms:created>
  <dcterms:modified xsi:type="dcterms:W3CDTF">2026-06-24T13:51:15Z</dcterms:modified>
  <cp:category/>
  <cp:contentStatus/>
</cp:coreProperties>
</file>